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lya\Desktop\Project 1\"/>
    </mc:Choice>
  </mc:AlternateContent>
  <xr:revisionPtr revIDLastSave="0" documentId="13_ncr:1_{98F1BEF0-C9DC-41F2-A1B6-4842710EA9AB}" xr6:coauthVersionLast="47" xr6:coauthVersionMax="47" xr10:uidLastSave="{00000000-0000-0000-0000-000000000000}"/>
  <bookViews>
    <workbookView xWindow="-120" yWindow="-120" windowWidth="29040" windowHeight="17520" xr2:uid="{58261409-75FE-4CCD-BF1A-46427F60D179}"/>
  </bookViews>
  <sheets>
    <sheet name="Budget 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1" l="1"/>
  <c r="N38" i="1"/>
  <c r="J38" i="1"/>
  <c r="B38" i="1"/>
  <c r="N36" i="1"/>
  <c r="J36" i="1"/>
  <c r="B36" i="1"/>
  <c r="J9" i="1"/>
  <c r="B9" i="1"/>
  <c r="N37" i="1"/>
  <c r="N34" i="1"/>
  <c r="N30" i="1"/>
  <c r="J30" i="1"/>
  <c r="B30" i="1"/>
  <c r="J37" i="1"/>
  <c r="B37" i="1"/>
  <c r="H34" i="1"/>
  <c r="J34" i="1" s="1"/>
  <c r="G35" i="1"/>
  <c r="N35" i="1" s="1"/>
  <c r="B34" i="1"/>
  <c r="B35" i="1"/>
  <c r="N41" i="1"/>
  <c r="N33" i="1"/>
  <c r="N32" i="1"/>
  <c r="N31" i="1"/>
  <c r="J31" i="1"/>
  <c r="B31" i="1"/>
  <c r="N26" i="1"/>
  <c r="J26" i="1"/>
  <c r="B26" i="1"/>
  <c r="B22" i="1"/>
  <c r="J22" i="1"/>
  <c r="N22" i="1"/>
  <c r="N18" i="1"/>
  <c r="J18" i="1"/>
  <c r="B18" i="1"/>
  <c r="N29" i="1"/>
  <c r="N28" i="1"/>
  <c r="N27" i="1"/>
  <c r="N25" i="1"/>
  <c r="N24" i="1"/>
  <c r="N23" i="1"/>
  <c r="N21" i="1"/>
  <c r="N20" i="1"/>
  <c r="J21" i="1"/>
  <c r="J20" i="1"/>
  <c r="N19" i="1"/>
  <c r="N17" i="1"/>
  <c r="N16" i="1"/>
  <c r="N15" i="1"/>
  <c r="N14" i="1"/>
  <c r="N13" i="1"/>
  <c r="N12" i="1"/>
  <c r="N11" i="1"/>
  <c r="N10" i="1"/>
  <c r="N8" i="1"/>
  <c r="N7" i="1"/>
  <c r="N6" i="1"/>
  <c r="N5" i="1"/>
  <c r="N4" i="1"/>
  <c r="J4" i="1"/>
  <c r="N3" i="1"/>
  <c r="M43" i="1"/>
  <c r="J5" i="1"/>
  <c r="J6" i="1"/>
  <c r="J7" i="1"/>
  <c r="J8" i="1"/>
  <c r="J10" i="1"/>
  <c r="J11" i="1"/>
  <c r="J12" i="1"/>
  <c r="J13" i="1"/>
  <c r="J14" i="1"/>
  <c r="J15" i="1"/>
  <c r="J16" i="1"/>
  <c r="J17" i="1"/>
  <c r="J19" i="1"/>
  <c r="J23" i="1"/>
  <c r="J24" i="1"/>
  <c r="J25" i="1"/>
  <c r="J27" i="1"/>
  <c r="J28" i="1"/>
  <c r="J29" i="1"/>
  <c r="J32" i="1"/>
  <c r="D56" i="1" s="1"/>
  <c r="J33" i="1"/>
  <c r="J41" i="1"/>
  <c r="J3" i="1"/>
  <c r="B32" i="1"/>
  <c r="B29" i="1"/>
  <c r="B28" i="1"/>
  <c r="B27" i="1"/>
  <c r="B25" i="1"/>
  <c r="B24" i="1"/>
  <c r="B6" i="1"/>
  <c r="B41" i="1"/>
  <c r="B33" i="1"/>
  <c r="B23" i="1"/>
  <c r="B21" i="1"/>
  <c r="B20" i="1"/>
  <c r="B19" i="1"/>
  <c r="B17" i="1"/>
  <c r="B16" i="1"/>
  <c r="B15" i="1"/>
  <c r="B14" i="1"/>
  <c r="B13" i="1"/>
  <c r="B12" i="1"/>
  <c r="B11" i="1"/>
  <c r="B10" i="1"/>
  <c r="B8" i="1"/>
  <c r="B7" i="1"/>
  <c r="B5" i="1"/>
  <c r="B4" i="1"/>
  <c r="B3" i="1"/>
  <c r="H35" i="1" l="1"/>
  <c r="J35" i="1" s="1"/>
  <c r="D55" i="1" s="1"/>
  <c r="D57" i="1"/>
  <c r="D53" i="1"/>
  <c r="D51" i="1"/>
  <c r="D54" i="1"/>
  <c r="D52" i="1"/>
  <c r="N43" i="1"/>
  <c r="D58" i="1" l="1"/>
  <c r="D50" i="1"/>
  <c r="K55" i="1" l="1"/>
  <c r="K56" i="1"/>
  <c r="K54" i="1"/>
  <c r="K52" i="1"/>
  <c r="K53" i="1"/>
  <c r="K57" i="1"/>
  <c r="K51" i="1"/>
  <c r="K50" i="1" l="1"/>
  <c r="K58" i="1" s="1"/>
  <c r="O58" i="1" s="1"/>
</calcChain>
</file>

<file path=xl/sharedStrings.xml><?xml version="1.0" encoding="utf-8"?>
<sst xmlns="http://schemas.openxmlformats.org/spreadsheetml/2006/main" count="182" uniqueCount="68">
  <si>
    <t>Accounting code</t>
  </si>
  <si>
    <t>Accounting code description</t>
  </si>
  <si>
    <t xml:space="preserve">TOTAL </t>
  </si>
  <si>
    <t>Acc. code</t>
  </si>
  <si>
    <t>Acc. Code description</t>
  </si>
  <si>
    <t>Cost Center</t>
  </si>
  <si>
    <t>Qty</t>
  </si>
  <si>
    <t>Unit Price</t>
  </si>
  <si>
    <t>Currency</t>
  </si>
  <si>
    <t>Total (EUR)</t>
  </si>
  <si>
    <t>Comment</t>
  </si>
  <si>
    <t>IT - equipment - routers</t>
  </si>
  <si>
    <t>IT- equipment - switches</t>
  </si>
  <si>
    <t>IT - equipment - periphery (telephony and printers)</t>
  </si>
  <si>
    <t>IT - equipment - end users (computers and laptops)</t>
  </si>
  <si>
    <t>IT - equipment - servers</t>
  </si>
  <si>
    <t>network1</t>
  </si>
  <si>
    <t>Description Name</t>
  </si>
  <si>
    <t>SW-1</t>
  </si>
  <si>
    <t>IT equipment</t>
  </si>
  <si>
    <t>Management</t>
  </si>
  <si>
    <t>Watts</t>
  </si>
  <si>
    <t>Zone</t>
  </si>
  <si>
    <t>Mgmt</t>
  </si>
  <si>
    <t>IP Phone</t>
  </si>
  <si>
    <t>printer0</t>
  </si>
  <si>
    <t>router1</t>
  </si>
  <si>
    <t>PC workstations</t>
  </si>
  <si>
    <t>Total Watts</t>
  </si>
  <si>
    <t>Router-firewall</t>
  </si>
  <si>
    <t>SW-2</t>
  </si>
  <si>
    <t>Study</t>
  </si>
  <si>
    <t>By Accounting Code</t>
  </si>
  <si>
    <t>By Cost Center</t>
  </si>
  <si>
    <t>Production</t>
  </si>
  <si>
    <t>Support 1</t>
  </si>
  <si>
    <t>Support 2</t>
  </si>
  <si>
    <t>IT department</t>
  </si>
  <si>
    <t>Connectivity/DMZ</t>
  </si>
  <si>
    <t>SW-3</t>
  </si>
  <si>
    <t xml:space="preserve">WAN + Firewall </t>
  </si>
  <si>
    <t>Printer</t>
  </si>
  <si>
    <t>SW-4</t>
  </si>
  <si>
    <t>SW-5</t>
  </si>
  <si>
    <t>SW-6</t>
  </si>
  <si>
    <t>SW-7</t>
  </si>
  <si>
    <t>DMZ</t>
  </si>
  <si>
    <t>DHCP Server</t>
  </si>
  <si>
    <t>DNS Server</t>
  </si>
  <si>
    <t>CLOUD-ISP</t>
  </si>
  <si>
    <t xml:space="preserve">Other </t>
  </si>
  <si>
    <t>Ethernet cables</t>
  </si>
  <si>
    <t>Optic Cables</t>
  </si>
  <si>
    <t>Cost 10euros per m, avg 10m per connection - Fiber optic (envelope)</t>
  </si>
  <si>
    <t>Rack</t>
  </si>
  <si>
    <t>Standard rack for switches, routers, etc</t>
  </si>
  <si>
    <t>WLAN</t>
  </si>
  <si>
    <t>Wireless router</t>
  </si>
  <si>
    <t xml:space="preserve">IT - equipment - cables </t>
  </si>
  <si>
    <t>Work Zone Name</t>
  </si>
  <si>
    <t>cost 2euros per m, avg 2 m per connection, cat7- Ethernet cables (envelope)</t>
  </si>
  <si>
    <t>Router2</t>
  </si>
  <si>
    <t>LAN2</t>
  </si>
  <si>
    <t>LAN1</t>
  </si>
  <si>
    <t>NAT Router</t>
  </si>
  <si>
    <t>NAT router</t>
  </si>
  <si>
    <t>ISP - not counted as outside of internal network</t>
  </si>
  <si>
    <t>STMP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</si>
</sst>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F_-;\-* #,##0.00\ _F_-;_-* &quot;-&quot;??\ _F_-;_-@_-"/>
    <numFmt numFmtId="165" formatCode="#,##0_ ;\-#,##0\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Calibri"/>
      <family val="2"/>
    </font>
    <font>
      <sz val="10"/>
      <name val="Calibri"/>
      <family val="2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24"/>
      </patternFill>
    </fill>
    <fill>
      <patternFill patternType="solid">
        <fgColor theme="0"/>
        <bgColor indexed="24"/>
      </patternFill>
    </fill>
    <fill>
      <patternFill patternType="solid">
        <fgColor rgb="FFFF9966"/>
        <bgColor indexed="2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</cellStyleXfs>
  <cellXfs count="45">
    <xf numFmtId="0" fontId="0" fillId="0" borderId="0" xfId="0"/>
    <xf numFmtId="0" fontId="4" fillId="3" borderId="6" xfId="1" applyFont="1" applyFill="1" applyBorder="1" applyAlignment="1">
      <alignment horizontal="center"/>
    </xf>
    <xf numFmtId="0" fontId="4" fillId="3" borderId="7" xfId="1" applyFont="1" applyFill="1" applyBorder="1" applyAlignment="1">
      <alignment horizontal="left"/>
    </xf>
    <xf numFmtId="0" fontId="3" fillId="2" borderId="8" xfId="1" applyFont="1" applyFill="1" applyBorder="1" applyAlignment="1">
      <alignment horizontal="left"/>
    </xf>
    <xf numFmtId="0" fontId="3" fillId="2" borderId="7" xfId="1" applyFont="1" applyFill="1" applyBorder="1"/>
    <xf numFmtId="165" fontId="3" fillId="4" borderId="1" xfId="3" applyNumberFormat="1" applyFont="1" applyFill="1" applyBorder="1" applyAlignment="1" applyProtection="1">
      <alignment horizontal="center" vertical="center"/>
    </xf>
    <xf numFmtId="165" fontId="3" fillId="4" borderId="2" xfId="3" applyNumberFormat="1" applyFont="1" applyFill="1" applyBorder="1" applyAlignment="1" applyProtection="1">
      <alignment horizontal="center" vertical="center"/>
    </xf>
    <xf numFmtId="0" fontId="5" fillId="0" borderId="0" xfId="0" applyFont="1"/>
    <xf numFmtId="0" fontId="5" fillId="0" borderId="11" xfId="0" applyFont="1" applyBorder="1"/>
    <xf numFmtId="0" fontId="5" fillId="0" borderId="12" xfId="0" applyFont="1" applyBorder="1"/>
    <xf numFmtId="0" fontId="0" fillId="0" borderId="10" xfId="0" applyBorder="1"/>
    <xf numFmtId="0" fontId="5" fillId="0" borderId="12" xfId="0" applyFont="1" applyBorder="1" applyAlignment="1">
      <alignment wrapText="1"/>
    </xf>
    <xf numFmtId="0" fontId="5" fillId="0" borderId="13" xfId="0" applyFont="1" applyBorder="1"/>
    <xf numFmtId="0" fontId="0" fillId="0" borderId="14" xfId="0" applyBorder="1"/>
    <xf numFmtId="0" fontId="5" fillId="0" borderId="10" xfId="0" applyFont="1" applyBorder="1"/>
    <xf numFmtId="165" fontId="3" fillId="4" borderId="3" xfId="3" applyNumberFormat="1" applyFont="1" applyFill="1" applyBorder="1" applyAlignment="1" applyProtection="1">
      <alignment horizontal="center" vertical="center"/>
    </xf>
    <xf numFmtId="0" fontId="3" fillId="2" borderId="3" xfId="1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165" fontId="3" fillId="0" borderId="0" xfId="3" applyNumberFormat="1" applyFont="1" applyFill="1" applyBorder="1" applyAlignment="1" applyProtection="1">
      <alignment horizontal="center"/>
    </xf>
    <xf numFmtId="165" fontId="4" fillId="0" borderId="0" xfId="3" applyNumberFormat="1" applyFont="1" applyFill="1" applyBorder="1" applyAlignment="1" applyProtection="1">
      <alignment horizontal="center"/>
    </xf>
    <xf numFmtId="165" fontId="3" fillId="0" borderId="0" xfId="3" applyNumberFormat="1" applyFont="1" applyFill="1" applyBorder="1" applyAlignment="1" applyProtection="1">
      <alignment horizontal="center" vertical="center"/>
    </xf>
    <xf numFmtId="165" fontId="6" fillId="0" borderId="15" xfId="0" applyNumberFormat="1" applyFont="1" applyBorder="1"/>
    <xf numFmtId="165" fontId="4" fillId="3" borderId="8" xfId="3" applyNumberFormat="1" applyFont="1" applyFill="1" applyBorder="1" applyAlignment="1" applyProtection="1">
      <alignment horizontal="center"/>
    </xf>
    <xf numFmtId="165" fontId="4" fillId="3" borderId="9" xfId="3" applyNumberFormat="1" applyFont="1" applyFill="1" applyBorder="1" applyAlignment="1" applyProtection="1">
      <alignment horizontal="center"/>
    </xf>
    <xf numFmtId="165" fontId="4" fillId="3" borderId="7" xfId="3" applyNumberFormat="1" applyFont="1" applyFill="1" applyBorder="1" applyAlignment="1" applyProtection="1">
      <alignment horizontal="center"/>
    </xf>
    <xf numFmtId="165" fontId="3" fillId="4" borderId="1" xfId="3" applyNumberFormat="1" applyFont="1" applyFill="1" applyBorder="1" applyAlignment="1" applyProtection="1">
      <alignment horizontal="center" vertical="center"/>
    </xf>
    <xf numFmtId="165" fontId="3" fillId="4" borderId="2" xfId="3" applyNumberFormat="1" applyFont="1" applyFill="1" applyBorder="1" applyAlignment="1" applyProtection="1">
      <alignment horizontal="center" vertical="center"/>
    </xf>
    <xf numFmtId="165" fontId="3" fillId="4" borderId="3" xfId="3" applyNumberFormat="1" applyFont="1" applyFill="1" applyBorder="1" applyAlignment="1" applyProtection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3" fontId="3" fillId="2" borderId="1" xfId="1" applyNumberFormat="1" applyFont="1" applyFill="1" applyBorder="1" applyAlignment="1">
      <alignment horizontal="center" vertical="center" wrapText="1"/>
    </xf>
    <xf numFmtId="3" fontId="3" fillId="2" borderId="2" xfId="1" applyNumberFormat="1" applyFont="1" applyFill="1" applyBorder="1" applyAlignment="1">
      <alignment horizontal="center" vertical="center" wrapText="1"/>
    </xf>
    <xf numFmtId="3" fontId="3" fillId="2" borderId="3" xfId="1" applyNumberFormat="1" applyFont="1" applyFill="1" applyBorder="1" applyAlignment="1">
      <alignment horizontal="center" vertical="center" wrapText="1"/>
    </xf>
    <xf numFmtId="165" fontId="3" fillId="2" borderId="1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165" fontId="3" fillId="2" borderId="4" xfId="3" applyNumberFormat="1" applyFont="1" applyFill="1" applyBorder="1" applyAlignment="1" applyProtection="1">
      <alignment horizontal="center"/>
    </xf>
    <xf numFmtId="165" fontId="3" fillId="2" borderId="5" xfId="3" applyNumberFormat="1" applyFont="1" applyFill="1" applyBorder="1" applyAlignment="1" applyProtection="1">
      <alignment horizontal="center"/>
    </xf>
    <xf numFmtId="165" fontId="3" fillId="2" borderId="16" xfId="3" applyNumberFormat="1" applyFont="1" applyFill="1" applyBorder="1" applyAlignment="1" applyProtection="1">
      <alignment horizontal="center"/>
    </xf>
    <xf numFmtId="0" fontId="3" fillId="2" borderId="17" xfId="1" applyFont="1" applyFill="1" applyBorder="1" applyAlignment="1">
      <alignment horizontal="center" vertical="center" wrapText="1"/>
    </xf>
    <xf numFmtId="0" fontId="3" fillId="2" borderId="0" xfId="1" applyFont="1" applyFill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</cellXfs>
  <cellStyles count="4">
    <cellStyle name="Comma 2 3" xfId="3" xr:uid="{813095FF-7F44-43B3-8E3E-7506F53FA7FF}"/>
    <cellStyle name="Normal" xfId="0" builtinId="0"/>
    <cellStyle name="Normal 2" xfId="2" xr:uid="{8B7671C3-94A6-4E20-B253-D4D5EBEC7ED3}"/>
    <cellStyle name="Normal 3" xfId="1" xr:uid="{520D4722-4DD0-4BB5-9565-FC9386ABC2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4627-C2A2-4924-A3A7-17B2D83EA8DD}">
  <dimension ref="A1:O58"/>
  <sheetViews>
    <sheetView tabSelected="1" workbookViewId="0">
      <selection activeCell="N9" sqref="N9"/>
    </sheetView>
  </sheetViews>
  <sheetFormatPr defaultRowHeight="14.4" x14ac:dyDescent="0.3"/>
  <cols>
    <col min="1" max="1" width="11.77734375" bestFit="1" customWidth="1"/>
    <col min="2" max="2" width="42.77734375" bestFit="1" customWidth="1"/>
    <col min="3" max="4" width="21.109375" customWidth="1"/>
    <col min="5" max="5" width="14.44140625" bestFit="1" customWidth="1"/>
    <col min="6" max="6" width="3.33203125" customWidth="1"/>
    <col min="7" max="7" width="9.33203125" customWidth="1"/>
    <col min="8" max="8" width="11.5546875" customWidth="1"/>
    <col min="9" max="9" width="11.77734375" hidden="1" customWidth="1"/>
    <col min="10" max="10" width="14.33203125" customWidth="1"/>
    <col min="11" max="11" width="3.109375" customWidth="1"/>
    <col min="12" max="12" width="62.33203125" customWidth="1"/>
    <col min="14" max="14" width="14.44140625" customWidth="1"/>
  </cols>
  <sheetData>
    <row r="1" spans="1:14" ht="15" thickBot="1" x14ac:dyDescent="0.35"/>
    <row r="2" spans="1:14" s="7" customFormat="1" ht="48" customHeight="1" x14ac:dyDescent="0.35">
      <c r="A2" s="8" t="s">
        <v>3</v>
      </c>
      <c r="B2" s="9" t="s">
        <v>4</v>
      </c>
      <c r="C2" s="9" t="s">
        <v>5</v>
      </c>
      <c r="D2" s="9" t="s">
        <v>22</v>
      </c>
      <c r="E2" s="11" t="s">
        <v>17</v>
      </c>
      <c r="F2" s="9"/>
      <c r="G2" s="9" t="s">
        <v>6</v>
      </c>
      <c r="H2" s="9" t="s">
        <v>7</v>
      </c>
      <c r="I2" s="9" t="s">
        <v>8</v>
      </c>
      <c r="J2" s="9" t="s">
        <v>9</v>
      </c>
      <c r="K2" s="9"/>
      <c r="L2" s="9" t="s">
        <v>10</v>
      </c>
      <c r="M2" s="12" t="s">
        <v>21</v>
      </c>
      <c r="N2" s="14" t="s">
        <v>28</v>
      </c>
    </row>
    <row r="3" spans="1:14" x14ac:dyDescent="0.3">
      <c r="A3" s="10">
        <v>13000</v>
      </c>
      <c r="B3" s="10" t="str">
        <f t="shared" ref="B3:B38" si="0">LOOKUP(A3,$B$51:$B$57,$C$51:$C$57)</f>
        <v>IT - equipment - end users (computers and laptops)</v>
      </c>
      <c r="C3" s="10" t="s">
        <v>16</v>
      </c>
      <c r="D3" s="10" t="s">
        <v>23</v>
      </c>
      <c r="E3" s="10" t="s">
        <v>27</v>
      </c>
      <c r="F3" s="10"/>
      <c r="G3" s="10">
        <v>5</v>
      </c>
      <c r="H3" s="10">
        <v>1000</v>
      </c>
      <c r="I3" s="10"/>
      <c r="J3" s="10">
        <f>G3*H3</f>
        <v>5000</v>
      </c>
      <c r="K3" s="10"/>
      <c r="L3" s="10" t="s">
        <v>20</v>
      </c>
      <c r="M3" s="13">
        <v>150</v>
      </c>
      <c r="N3" s="10">
        <f t="shared" ref="N3:N41" si="1">M3*G3</f>
        <v>750</v>
      </c>
    </row>
    <row r="4" spans="1:14" x14ac:dyDescent="0.3">
      <c r="A4" s="10">
        <v>12000</v>
      </c>
      <c r="B4" s="10" t="str">
        <f t="shared" si="0"/>
        <v>IT - equipment - periphery (telephony and printers)</v>
      </c>
      <c r="C4" s="10" t="s">
        <v>16</v>
      </c>
      <c r="D4" s="10" t="s">
        <v>23</v>
      </c>
      <c r="E4" s="10" t="s">
        <v>25</v>
      </c>
      <c r="F4" s="10"/>
      <c r="G4" s="10">
        <v>1</v>
      </c>
      <c r="H4" s="10">
        <v>1500</v>
      </c>
      <c r="I4" s="10"/>
      <c r="J4" s="10">
        <f t="shared" ref="J4" si="2">G4*H4</f>
        <v>1500</v>
      </c>
      <c r="K4" s="10"/>
      <c r="L4" s="10" t="s">
        <v>20</v>
      </c>
      <c r="M4" s="13">
        <v>30</v>
      </c>
      <c r="N4" s="10">
        <f t="shared" si="1"/>
        <v>30</v>
      </c>
    </row>
    <row r="5" spans="1:14" x14ac:dyDescent="0.3">
      <c r="A5" s="10">
        <v>12000</v>
      </c>
      <c r="B5" s="10" t="str">
        <f t="shared" si="0"/>
        <v>IT - equipment - periphery (telephony and printers)</v>
      </c>
      <c r="C5" s="10" t="s">
        <v>16</v>
      </c>
      <c r="D5" s="10" t="s">
        <v>23</v>
      </c>
      <c r="E5" s="10" t="s">
        <v>24</v>
      </c>
      <c r="F5" s="10"/>
      <c r="G5" s="10">
        <v>1</v>
      </c>
      <c r="H5" s="10">
        <v>75</v>
      </c>
      <c r="I5" s="10"/>
      <c r="J5" s="10">
        <f t="shared" ref="J5:J41" si="3">G5*H5</f>
        <v>75</v>
      </c>
      <c r="K5" s="10"/>
      <c r="L5" s="10" t="s">
        <v>20</v>
      </c>
      <c r="M5" s="13">
        <v>10</v>
      </c>
      <c r="N5" s="10">
        <f t="shared" si="1"/>
        <v>10</v>
      </c>
    </row>
    <row r="6" spans="1:14" x14ac:dyDescent="0.3">
      <c r="A6" s="10">
        <v>11000</v>
      </c>
      <c r="B6" s="10" t="str">
        <f t="shared" si="0"/>
        <v>IT- equipment - switches</v>
      </c>
      <c r="C6" s="10" t="s">
        <v>16</v>
      </c>
      <c r="D6" s="10" t="s">
        <v>23</v>
      </c>
      <c r="E6" s="10" t="s">
        <v>18</v>
      </c>
      <c r="F6" s="10"/>
      <c r="G6" s="10">
        <v>1</v>
      </c>
      <c r="H6" s="10">
        <v>1500</v>
      </c>
      <c r="I6" s="10"/>
      <c r="J6" s="10">
        <f t="shared" si="3"/>
        <v>1500</v>
      </c>
      <c r="K6" s="10"/>
      <c r="L6" s="10" t="s">
        <v>20</v>
      </c>
      <c r="M6" s="13">
        <v>40</v>
      </c>
      <c r="N6" s="10">
        <f t="shared" si="1"/>
        <v>40</v>
      </c>
    </row>
    <row r="7" spans="1:14" x14ac:dyDescent="0.3">
      <c r="A7" s="10">
        <v>12000</v>
      </c>
      <c r="B7" s="10" t="str">
        <f t="shared" si="0"/>
        <v>IT - equipment - periphery (telephony and printers)</v>
      </c>
      <c r="C7" s="10" t="s">
        <v>16</v>
      </c>
      <c r="D7" s="10" t="s">
        <v>38</v>
      </c>
      <c r="E7" s="10" t="s">
        <v>29</v>
      </c>
      <c r="F7" s="10"/>
      <c r="G7" s="10">
        <v>1</v>
      </c>
      <c r="H7" s="10">
        <v>150</v>
      </c>
      <c r="I7" s="10"/>
      <c r="J7" s="10">
        <f t="shared" si="3"/>
        <v>150</v>
      </c>
      <c r="K7" s="10"/>
      <c r="L7" s="10" t="s">
        <v>40</v>
      </c>
      <c r="M7" s="13">
        <v>35</v>
      </c>
      <c r="N7" s="10">
        <f t="shared" si="1"/>
        <v>35</v>
      </c>
    </row>
    <row r="8" spans="1:14" x14ac:dyDescent="0.3">
      <c r="A8" s="10">
        <v>10000</v>
      </c>
      <c r="B8" s="10" t="str">
        <f t="shared" si="0"/>
        <v>IT - equipment - routers</v>
      </c>
      <c r="C8" s="10" t="s">
        <v>16</v>
      </c>
      <c r="D8" s="10" t="s">
        <v>38</v>
      </c>
      <c r="E8" s="10" t="s">
        <v>26</v>
      </c>
      <c r="F8" s="10"/>
      <c r="G8" s="10">
        <v>1</v>
      </c>
      <c r="H8" s="10">
        <v>150</v>
      </c>
      <c r="I8" s="10"/>
      <c r="J8" s="10">
        <f t="shared" si="3"/>
        <v>150</v>
      </c>
      <c r="K8" s="10"/>
      <c r="L8" s="10" t="s">
        <v>63</v>
      </c>
      <c r="M8" s="13">
        <v>35</v>
      </c>
      <c r="N8" s="10">
        <f t="shared" si="1"/>
        <v>35</v>
      </c>
    </row>
    <row r="9" spans="1:14" x14ac:dyDescent="0.3">
      <c r="A9" s="10">
        <v>10000</v>
      </c>
      <c r="B9" s="10" t="str">
        <f t="shared" si="0"/>
        <v>IT - equipment - routers</v>
      </c>
      <c r="C9" s="10" t="s">
        <v>16</v>
      </c>
      <c r="D9" s="10" t="s">
        <v>38</v>
      </c>
      <c r="E9" s="10" t="s">
        <v>61</v>
      </c>
      <c r="F9" s="10"/>
      <c r="G9" s="10">
        <v>1</v>
      </c>
      <c r="H9" s="10">
        <v>150</v>
      </c>
      <c r="I9" s="10"/>
      <c r="J9" s="10">
        <f t="shared" si="3"/>
        <v>150</v>
      </c>
      <c r="K9" s="10"/>
      <c r="L9" s="10" t="s">
        <v>62</v>
      </c>
      <c r="M9" s="13">
        <v>35</v>
      </c>
      <c r="N9" s="10">
        <f t="shared" si="1"/>
        <v>35</v>
      </c>
    </row>
    <row r="10" spans="1:14" x14ac:dyDescent="0.3">
      <c r="A10" s="10">
        <v>11000</v>
      </c>
      <c r="B10" s="10" t="str">
        <f t="shared" si="0"/>
        <v>IT- equipment - switches</v>
      </c>
      <c r="C10" s="10" t="s">
        <v>16</v>
      </c>
      <c r="D10" s="10" t="s">
        <v>31</v>
      </c>
      <c r="E10" s="10" t="s">
        <v>30</v>
      </c>
      <c r="F10" s="10"/>
      <c r="G10" s="10">
        <v>1</v>
      </c>
      <c r="H10" s="10">
        <v>1500</v>
      </c>
      <c r="I10" s="10"/>
      <c r="J10" s="10">
        <f t="shared" si="3"/>
        <v>1500</v>
      </c>
      <c r="K10" s="10"/>
      <c r="L10" s="10" t="s">
        <v>31</v>
      </c>
      <c r="M10" s="13">
        <v>40</v>
      </c>
      <c r="N10" s="10">
        <f t="shared" si="1"/>
        <v>40</v>
      </c>
    </row>
    <row r="11" spans="1:14" x14ac:dyDescent="0.3">
      <c r="A11" s="10">
        <v>13000</v>
      </c>
      <c r="B11" s="10" t="str">
        <f t="shared" si="0"/>
        <v>IT - equipment - end users (computers and laptops)</v>
      </c>
      <c r="C11" s="10" t="s">
        <v>16</v>
      </c>
      <c r="D11" s="10" t="s">
        <v>31</v>
      </c>
      <c r="E11" s="10" t="s">
        <v>27</v>
      </c>
      <c r="F11" s="10"/>
      <c r="G11" s="10">
        <v>8</v>
      </c>
      <c r="H11" s="10">
        <v>1000</v>
      </c>
      <c r="I11" s="10"/>
      <c r="J11" s="10">
        <f t="shared" si="3"/>
        <v>8000</v>
      </c>
      <c r="K11" s="10"/>
      <c r="L11" s="10" t="s">
        <v>31</v>
      </c>
      <c r="M11" s="13">
        <v>150</v>
      </c>
      <c r="N11" s="10">
        <f t="shared" si="1"/>
        <v>1200</v>
      </c>
    </row>
    <row r="12" spans="1:14" x14ac:dyDescent="0.3">
      <c r="A12" s="10">
        <v>12000</v>
      </c>
      <c r="B12" s="10" t="str">
        <f t="shared" si="0"/>
        <v>IT - equipment - periphery (telephony and printers)</v>
      </c>
      <c r="C12" s="10" t="s">
        <v>16</v>
      </c>
      <c r="D12" s="10" t="s">
        <v>31</v>
      </c>
      <c r="E12" s="10" t="s">
        <v>41</v>
      </c>
      <c r="F12" s="10"/>
      <c r="G12" s="10">
        <v>1</v>
      </c>
      <c r="H12" s="10">
        <v>1500</v>
      </c>
      <c r="I12" s="10"/>
      <c r="J12" s="10">
        <f t="shared" si="3"/>
        <v>1500</v>
      </c>
      <c r="K12" s="10"/>
      <c r="L12" s="10" t="s">
        <v>31</v>
      </c>
      <c r="M12" s="13">
        <v>30</v>
      </c>
      <c r="N12" s="10">
        <f t="shared" si="1"/>
        <v>30</v>
      </c>
    </row>
    <row r="13" spans="1:14" x14ac:dyDescent="0.3">
      <c r="A13" s="10">
        <v>12000</v>
      </c>
      <c r="B13" s="10" t="str">
        <f t="shared" si="0"/>
        <v>IT - equipment - periphery (telephony and printers)</v>
      </c>
      <c r="C13" s="10" t="s">
        <v>16</v>
      </c>
      <c r="D13" s="10" t="s">
        <v>31</v>
      </c>
      <c r="E13" s="10" t="s">
        <v>24</v>
      </c>
      <c r="F13" s="10"/>
      <c r="G13" s="10">
        <v>1</v>
      </c>
      <c r="H13" s="10">
        <v>75</v>
      </c>
      <c r="I13" s="10"/>
      <c r="J13" s="10">
        <f t="shared" si="3"/>
        <v>75</v>
      </c>
      <c r="K13" s="10"/>
      <c r="L13" s="10" t="s">
        <v>31</v>
      </c>
      <c r="M13" s="13">
        <v>10</v>
      </c>
      <c r="N13" s="10">
        <f t="shared" si="1"/>
        <v>10</v>
      </c>
    </row>
    <row r="14" spans="1:14" x14ac:dyDescent="0.3">
      <c r="A14" s="10">
        <v>11000</v>
      </c>
      <c r="B14" s="10" t="str">
        <f t="shared" si="0"/>
        <v>IT- equipment - switches</v>
      </c>
      <c r="C14" s="10" t="s">
        <v>16</v>
      </c>
      <c r="D14" s="10" t="s">
        <v>34</v>
      </c>
      <c r="E14" s="10" t="s">
        <v>39</v>
      </c>
      <c r="F14" s="10"/>
      <c r="G14" s="10">
        <v>1</v>
      </c>
      <c r="H14" s="10">
        <v>1500</v>
      </c>
      <c r="I14" s="10"/>
      <c r="J14" s="10">
        <f t="shared" si="3"/>
        <v>1500</v>
      </c>
      <c r="K14" s="10"/>
      <c r="L14" s="10" t="s">
        <v>34</v>
      </c>
      <c r="M14" s="13">
        <v>40</v>
      </c>
      <c r="N14" s="10">
        <f t="shared" si="1"/>
        <v>40</v>
      </c>
    </row>
    <row r="15" spans="1:14" x14ac:dyDescent="0.3">
      <c r="A15" s="10">
        <v>13000</v>
      </c>
      <c r="B15" s="10" t="str">
        <f t="shared" si="0"/>
        <v>IT - equipment - end users (computers and laptops)</v>
      </c>
      <c r="C15" s="10" t="s">
        <v>16</v>
      </c>
      <c r="D15" s="10" t="s">
        <v>34</v>
      </c>
      <c r="E15" s="10" t="s">
        <v>27</v>
      </c>
      <c r="F15" s="10"/>
      <c r="G15" s="10">
        <v>10</v>
      </c>
      <c r="H15" s="10">
        <v>1000</v>
      </c>
      <c r="I15" s="10"/>
      <c r="J15" s="10">
        <f t="shared" si="3"/>
        <v>10000</v>
      </c>
      <c r="K15" s="10"/>
      <c r="L15" s="10" t="s">
        <v>34</v>
      </c>
      <c r="M15" s="13">
        <v>150</v>
      </c>
      <c r="N15" s="10">
        <f t="shared" si="1"/>
        <v>1500</v>
      </c>
    </row>
    <row r="16" spans="1:14" x14ac:dyDescent="0.3">
      <c r="A16" s="10">
        <v>12000</v>
      </c>
      <c r="B16" s="10" t="str">
        <f t="shared" si="0"/>
        <v>IT - equipment - periphery (telephony and printers)</v>
      </c>
      <c r="C16" s="10" t="s">
        <v>16</v>
      </c>
      <c r="D16" s="10" t="s">
        <v>34</v>
      </c>
      <c r="E16" s="10" t="s">
        <v>24</v>
      </c>
      <c r="F16" s="10"/>
      <c r="G16" s="10">
        <v>1</v>
      </c>
      <c r="H16" s="10">
        <v>75</v>
      </c>
      <c r="I16" s="10"/>
      <c r="J16" s="10">
        <f t="shared" si="3"/>
        <v>75</v>
      </c>
      <c r="K16" s="10"/>
      <c r="L16" s="10" t="s">
        <v>34</v>
      </c>
      <c r="M16" s="13">
        <v>10</v>
      </c>
      <c r="N16" s="10">
        <f t="shared" si="1"/>
        <v>10</v>
      </c>
    </row>
    <row r="17" spans="1:14" x14ac:dyDescent="0.3">
      <c r="A17" s="10">
        <v>12000</v>
      </c>
      <c r="B17" s="10" t="str">
        <f t="shared" si="0"/>
        <v>IT - equipment - periphery (telephony and printers)</v>
      </c>
      <c r="C17" s="10" t="s">
        <v>16</v>
      </c>
      <c r="D17" s="10" t="s">
        <v>34</v>
      </c>
      <c r="E17" s="10" t="s">
        <v>41</v>
      </c>
      <c r="F17" s="10"/>
      <c r="G17" s="10">
        <v>1</v>
      </c>
      <c r="H17" s="10">
        <v>1500</v>
      </c>
      <c r="I17" s="10"/>
      <c r="J17" s="10">
        <f t="shared" si="3"/>
        <v>1500</v>
      </c>
      <c r="K17" s="10"/>
      <c r="L17" s="10" t="s">
        <v>34</v>
      </c>
      <c r="M17" s="13">
        <v>30</v>
      </c>
      <c r="N17" s="10">
        <f t="shared" si="1"/>
        <v>30</v>
      </c>
    </row>
    <row r="18" spans="1:14" x14ac:dyDescent="0.3">
      <c r="A18" s="10">
        <v>11000</v>
      </c>
      <c r="B18" s="10" t="str">
        <f t="shared" si="0"/>
        <v>IT- equipment - switches</v>
      </c>
      <c r="C18" s="10" t="s">
        <v>16</v>
      </c>
      <c r="D18" s="10" t="s">
        <v>35</v>
      </c>
      <c r="E18" s="10" t="s">
        <v>42</v>
      </c>
      <c r="F18" s="10"/>
      <c r="G18" s="10">
        <v>1</v>
      </c>
      <c r="H18" s="10">
        <v>1500</v>
      </c>
      <c r="I18" s="10"/>
      <c r="J18" s="10">
        <f>G18*H18</f>
        <v>1500</v>
      </c>
      <c r="K18" s="10"/>
      <c r="L18" s="10" t="s">
        <v>35</v>
      </c>
      <c r="M18" s="13">
        <v>40</v>
      </c>
      <c r="N18" s="10">
        <f t="shared" si="1"/>
        <v>40</v>
      </c>
    </row>
    <row r="19" spans="1:14" x14ac:dyDescent="0.3">
      <c r="A19" s="10">
        <v>13000</v>
      </c>
      <c r="B19" s="10" t="str">
        <f t="shared" si="0"/>
        <v>IT - equipment - end users (computers and laptops)</v>
      </c>
      <c r="C19" s="10" t="s">
        <v>16</v>
      </c>
      <c r="D19" s="10" t="s">
        <v>35</v>
      </c>
      <c r="E19" s="10" t="s">
        <v>27</v>
      </c>
      <c r="F19" s="10"/>
      <c r="G19" s="10">
        <v>10</v>
      </c>
      <c r="H19" s="10">
        <v>1000</v>
      </c>
      <c r="I19" s="10"/>
      <c r="J19" s="10">
        <f t="shared" si="3"/>
        <v>10000</v>
      </c>
      <c r="K19" s="10"/>
      <c r="L19" s="10" t="s">
        <v>35</v>
      </c>
      <c r="M19" s="13">
        <v>150</v>
      </c>
      <c r="N19" s="10">
        <f t="shared" si="1"/>
        <v>1500</v>
      </c>
    </row>
    <row r="20" spans="1:14" x14ac:dyDescent="0.3">
      <c r="A20" s="10">
        <v>12000</v>
      </c>
      <c r="B20" s="10" t="str">
        <f t="shared" si="0"/>
        <v>IT - equipment - periphery (telephony and printers)</v>
      </c>
      <c r="C20" s="10" t="s">
        <v>16</v>
      </c>
      <c r="D20" s="10" t="s">
        <v>35</v>
      </c>
      <c r="E20" s="10" t="s">
        <v>24</v>
      </c>
      <c r="F20" s="10"/>
      <c r="G20" s="10">
        <v>1</v>
      </c>
      <c r="H20" s="10">
        <v>75</v>
      </c>
      <c r="I20" s="10"/>
      <c r="J20" s="10">
        <f t="shared" ref="J20:J21" si="4">G20*H20</f>
        <v>75</v>
      </c>
      <c r="K20" s="10"/>
      <c r="L20" s="10" t="s">
        <v>35</v>
      </c>
      <c r="M20" s="13">
        <v>10</v>
      </c>
      <c r="N20" s="10">
        <f t="shared" si="1"/>
        <v>10</v>
      </c>
    </row>
    <row r="21" spans="1:14" x14ac:dyDescent="0.3">
      <c r="A21" s="10">
        <v>12000</v>
      </c>
      <c r="B21" s="10" t="str">
        <f t="shared" si="0"/>
        <v>IT - equipment - periphery (telephony and printers)</v>
      </c>
      <c r="C21" s="10" t="s">
        <v>16</v>
      </c>
      <c r="D21" s="10" t="s">
        <v>35</v>
      </c>
      <c r="E21" s="10" t="s">
        <v>41</v>
      </c>
      <c r="F21" s="10"/>
      <c r="G21" s="10">
        <v>1</v>
      </c>
      <c r="H21" s="10">
        <v>1500</v>
      </c>
      <c r="I21" s="10"/>
      <c r="J21" s="10">
        <f t="shared" si="4"/>
        <v>1500</v>
      </c>
      <c r="K21" s="10"/>
      <c r="L21" s="10" t="s">
        <v>35</v>
      </c>
      <c r="M21" s="13">
        <v>30</v>
      </c>
      <c r="N21" s="10">
        <f t="shared" si="1"/>
        <v>30</v>
      </c>
    </row>
    <row r="22" spans="1:14" x14ac:dyDescent="0.3">
      <c r="A22" s="10">
        <v>11000</v>
      </c>
      <c r="B22" s="10" t="str">
        <f t="shared" si="0"/>
        <v>IT- equipment - switches</v>
      </c>
      <c r="C22" s="10" t="s">
        <v>16</v>
      </c>
      <c r="D22" s="10" t="s">
        <v>36</v>
      </c>
      <c r="E22" s="10" t="s">
        <v>43</v>
      </c>
      <c r="F22" s="10"/>
      <c r="G22" s="10">
        <v>1</v>
      </c>
      <c r="H22" s="10">
        <v>1500</v>
      </c>
      <c r="I22" s="10"/>
      <c r="J22" s="10">
        <f>G22*H22</f>
        <v>1500</v>
      </c>
      <c r="K22" s="10"/>
      <c r="L22" s="10" t="s">
        <v>36</v>
      </c>
      <c r="M22" s="13">
        <v>40</v>
      </c>
      <c r="N22" s="10">
        <f t="shared" si="1"/>
        <v>40</v>
      </c>
    </row>
    <row r="23" spans="1:14" x14ac:dyDescent="0.3">
      <c r="A23" s="10">
        <v>13000</v>
      </c>
      <c r="B23" s="10" t="str">
        <f t="shared" si="0"/>
        <v>IT - equipment - end users (computers and laptops)</v>
      </c>
      <c r="C23" s="10" t="s">
        <v>16</v>
      </c>
      <c r="D23" s="10" t="s">
        <v>36</v>
      </c>
      <c r="E23" s="10" t="s">
        <v>27</v>
      </c>
      <c r="F23" s="10"/>
      <c r="G23" s="10">
        <v>10</v>
      </c>
      <c r="H23" s="10">
        <v>1000</v>
      </c>
      <c r="I23" s="10"/>
      <c r="J23" s="10">
        <f t="shared" si="3"/>
        <v>10000</v>
      </c>
      <c r="K23" s="10"/>
      <c r="L23" s="10" t="s">
        <v>36</v>
      </c>
      <c r="M23" s="13">
        <v>150</v>
      </c>
      <c r="N23" s="10">
        <f t="shared" si="1"/>
        <v>1500</v>
      </c>
    </row>
    <row r="24" spans="1:14" x14ac:dyDescent="0.3">
      <c r="A24" s="10">
        <v>12000</v>
      </c>
      <c r="B24" s="10" t="str">
        <f t="shared" si="0"/>
        <v>IT - equipment - periphery (telephony and printers)</v>
      </c>
      <c r="C24" s="10" t="s">
        <v>16</v>
      </c>
      <c r="D24" s="10" t="s">
        <v>36</v>
      </c>
      <c r="E24" s="10" t="s">
        <v>24</v>
      </c>
      <c r="F24" s="10"/>
      <c r="G24" s="10">
        <v>1</v>
      </c>
      <c r="H24" s="10">
        <v>75</v>
      </c>
      <c r="I24" s="10"/>
      <c r="J24" s="10">
        <f t="shared" si="3"/>
        <v>75</v>
      </c>
      <c r="K24" s="10"/>
      <c r="L24" s="10" t="s">
        <v>36</v>
      </c>
      <c r="M24" s="13">
        <v>10</v>
      </c>
      <c r="N24" s="10">
        <f t="shared" si="1"/>
        <v>10</v>
      </c>
    </row>
    <row r="25" spans="1:14" x14ac:dyDescent="0.3">
      <c r="A25" s="10">
        <v>12000</v>
      </c>
      <c r="B25" s="10" t="str">
        <f t="shared" si="0"/>
        <v>IT - equipment - periphery (telephony and printers)</v>
      </c>
      <c r="C25" s="10" t="s">
        <v>16</v>
      </c>
      <c r="D25" s="10" t="s">
        <v>36</v>
      </c>
      <c r="E25" s="10" t="s">
        <v>41</v>
      </c>
      <c r="F25" s="10"/>
      <c r="G25" s="10">
        <v>1</v>
      </c>
      <c r="H25" s="10">
        <v>1500</v>
      </c>
      <c r="I25" s="10"/>
      <c r="J25" s="10">
        <f t="shared" si="3"/>
        <v>1500</v>
      </c>
      <c r="K25" s="10"/>
      <c r="L25" s="10" t="s">
        <v>36</v>
      </c>
      <c r="M25" s="13">
        <v>30</v>
      </c>
      <c r="N25" s="10">
        <f t="shared" si="1"/>
        <v>30</v>
      </c>
    </row>
    <row r="26" spans="1:14" x14ac:dyDescent="0.3">
      <c r="A26" s="10">
        <v>11000</v>
      </c>
      <c r="B26" s="10" t="str">
        <f t="shared" si="0"/>
        <v>IT- equipment - switches</v>
      </c>
      <c r="C26" s="10" t="s">
        <v>16</v>
      </c>
      <c r="D26" s="10" t="s">
        <v>37</v>
      </c>
      <c r="E26" s="10" t="s">
        <v>44</v>
      </c>
      <c r="F26" s="10"/>
      <c r="G26" s="10">
        <v>1</v>
      </c>
      <c r="H26" s="10">
        <v>1500</v>
      </c>
      <c r="I26" s="10"/>
      <c r="J26" s="10">
        <f>G26*H26</f>
        <v>1500</v>
      </c>
      <c r="K26" s="10"/>
      <c r="L26" s="10" t="s">
        <v>37</v>
      </c>
      <c r="M26" s="13">
        <v>40</v>
      </c>
      <c r="N26" s="10">
        <f t="shared" si="1"/>
        <v>40</v>
      </c>
    </row>
    <row r="27" spans="1:14" x14ac:dyDescent="0.3">
      <c r="A27" s="10">
        <v>13000</v>
      </c>
      <c r="B27" s="10" t="str">
        <f t="shared" si="0"/>
        <v>IT - equipment - end users (computers and laptops)</v>
      </c>
      <c r="C27" s="10" t="s">
        <v>16</v>
      </c>
      <c r="D27" s="10" t="s">
        <v>37</v>
      </c>
      <c r="E27" s="10" t="s">
        <v>27</v>
      </c>
      <c r="F27" s="10"/>
      <c r="G27" s="10">
        <v>5</v>
      </c>
      <c r="H27" s="10">
        <v>1000</v>
      </c>
      <c r="I27" s="10"/>
      <c r="J27" s="10">
        <f t="shared" si="3"/>
        <v>5000</v>
      </c>
      <c r="K27" s="10"/>
      <c r="L27" s="10" t="s">
        <v>37</v>
      </c>
      <c r="M27" s="13">
        <v>150</v>
      </c>
      <c r="N27" s="10">
        <f t="shared" si="1"/>
        <v>750</v>
      </c>
    </row>
    <row r="28" spans="1:14" x14ac:dyDescent="0.3">
      <c r="A28" s="10">
        <v>12000</v>
      </c>
      <c r="B28" s="10" t="str">
        <f t="shared" si="0"/>
        <v>IT - equipment - periphery (telephony and printers)</v>
      </c>
      <c r="C28" s="10" t="s">
        <v>16</v>
      </c>
      <c r="D28" s="10" t="s">
        <v>37</v>
      </c>
      <c r="E28" s="10" t="s">
        <v>24</v>
      </c>
      <c r="F28" s="10"/>
      <c r="G28" s="10">
        <v>1</v>
      </c>
      <c r="H28" s="10">
        <v>75</v>
      </c>
      <c r="I28" s="10"/>
      <c r="J28" s="10">
        <f t="shared" si="3"/>
        <v>75</v>
      </c>
      <c r="K28" s="10"/>
      <c r="L28" s="10" t="s">
        <v>37</v>
      </c>
      <c r="M28" s="13">
        <v>10</v>
      </c>
      <c r="N28" s="10">
        <f t="shared" si="1"/>
        <v>10</v>
      </c>
    </row>
    <row r="29" spans="1:14" x14ac:dyDescent="0.3">
      <c r="A29" s="10">
        <v>12000</v>
      </c>
      <c r="B29" s="10" t="str">
        <f t="shared" si="0"/>
        <v>IT - equipment - periphery (telephony and printers)</v>
      </c>
      <c r="C29" s="10" t="s">
        <v>16</v>
      </c>
      <c r="D29" s="10" t="s">
        <v>37</v>
      </c>
      <c r="E29" s="10" t="s">
        <v>41</v>
      </c>
      <c r="F29" s="10"/>
      <c r="G29" s="10">
        <v>1</v>
      </c>
      <c r="H29" s="10">
        <v>1500</v>
      </c>
      <c r="I29" s="10"/>
      <c r="J29" s="10">
        <f t="shared" si="3"/>
        <v>1500</v>
      </c>
      <c r="K29" s="10"/>
      <c r="L29" s="10" t="s">
        <v>37</v>
      </c>
      <c r="M29" s="13">
        <v>30</v>
      </c>
      <c r="N29" s="10">
        <f t="shared" si="1"/>
        <v>30</v>
      </c>
    </row>
    <row r="30" spans="1:14" x14ac:dyDescent="0.3">
      <c r="A30" s="10">
        <v>10000</v>
      </c>
      <c r="B30" s="10" t="str">
        <f t="shared" si="0"/>
        <v>IT - equipment - routers</v>
      </c>
      <c r="C30" s="10" t="s">
        <v>16</v>
      </c>
      <c r="D30" s="10" t="s">
        <v>38</v>
      </c>
      <c r="E30" s="10" t="s">
        <v>56</v>
      </c>
      <c r="F30" s="10"/>
      <c r="G30" s="10">
        <v>1</v>
      </c>
      <c r="H30" s="10">
        <v>100</v>
      </c>
      <c r="I30" s="10"/>
      <c r="J30" s="10">
        <f t="shared" si="3"/>
        <v>100</v>
      </c>
      <c r="K30" s="10"/>
      <c r="L30" s="10" t="s">
        <v>57</v>
      </c>
      <c r="M30" s="13">
        <v>50</v>
      </c>
      <c r="N30" s="10">
        <f t="shared" si="1"/>
        <v>50</v>
      </c>
    </row>
    <row r="31" spans="1:14" x14ac:dyDescent="0.3">
      <c r="A31" s="10">
        <v>11000</v>
      </c>
      <c r="B31" s="10" t="str">
        <f t="shared" si="0"/>
        <v>IT- equipment - switches</v>
      </c>
      <c r="C31" s="10" t="s">
        <v>16</v>
      </c>
      <c r="D31" s="10" t="s">
        <v>38</v>
      </c>
      <c r="E31" s="10" t="s">
        <v>45</v>
      </c>
      <c r="F31" s="10"/>
      <c r="G31" s="10">
        <v>1</v>
      </c>
      <c r="H31" s="10">
        <v>1500</v>
      </c>
      <c r="I31" s="10"/>
      <c r="J31" s="10">
        <f>G31*H31</f>
        <v>1500</v>
      </c>
      <c r="K31" s="10"/>
      <c r="L31" s="10" t="s">
        <v>46</v>
      </c>
      <c r="M31" s="13">
        <v>40</v>
      </c>
      <c r="N31" s="10">
        <f t="shared" si="1"/>
        <v>40</v>
      </c>
    </row>
    <row r="32" spans="1:14" x14ac:dyDescent="0.3">
      <c r="A32" s="10">
        <v>15000</v>
      </c>
      <c r="B32" s="10" t="str">
        <f t="shared" si="0"/>
        <v>IT - equipment - servers</v>
      </c>
      <c r="C32" s="10" t="s">
        <v>16</v>
      </c>
      <c r="D32" s="10" t="s">
        <v>38</v>
      </c>
      <c r="E32" s="10" t="s">
        <v>47</v>
      </c>
      <c r="F32" s="10"/>
      <c r="G32" s="10">
        <v>1</v>
      </c>
      <c r="H32" s="10">
        <v>2000</v>
      </c>
      <c r="I32" s="10"/>
      <c r="J32" s="10">
        <f t="shared" si="3"/>
        <v>2000</v>
      </c>
      <c r="K32" s="10"/>
      <c r="L32" s="10" t="s">
        <v>46</v>
      </c>
      <c r="M32" s="13">
        <v>200</v>
      </c>
      <c r="N32" s="10">
        <f t="shared" si="1"/>
        <v>200</v>
      </c>
    </row>
    <row r="33" spans="1:14" x14ac:dyDescent="0.3">
      <c r="A33" s="10">
        <v>15000</v>
      </c>
      <c r="B33" s="10" t="str">
        <f t="shared" si="0"/>
        <v>IT - equipment - servers</v>
      </c>
      <c r="C33" s="10" t="s">
        <v>16</v>
      </c>
      <c r="D33" s="10" t="s">
        <v>38</v>
      </c>
      <c r="E33" s="10" t="s">
        <v>48</v>
      </c>
      <c r="F33" s="10"/>
      <c r="G33" s="10">
        <v>1</v>
      </c>
      <c r="H33" s="10">
        <v>2000</v>
      </c>
      <c r="I33" s="10"/>
      <c r="J33" s="10">
        <f t="shared" si="3"/>
        <v>2000</v>
      </c>
      <c r="K33" s="10"/>
      <c r="L33" s="10" t="s">
        <v>46</v>
      </c>
      <c r="M33" s="13">
        <v>200</v>
      </c>
      <c r="N33" s="10">
        <f t="shared" si="1"/>
        <v>200</v>
      </c>
    </row>
    <row r="34" spans="1:14" x14ac:dyDescent="0.3">
      <c r="A34" s="10">
        <v>14000</v>
      </c>
      <c r="B34" s="10" t="str">
        <f t="shared" si="0"/>
        <v xml:space="preserve">IT - equipment - cables </v>
      </c>
      <c r="C34" s="10" t="s">
        <v>16</v>
      </c>
      <c r="D34" s="10" t="s">
        <v>38</v>
      </c>
      <c r="E34" s="10" t="s">
        <v>52</v>
      </c>
      <c r="F34" s="10"/>
      <c r="G34" s="10">
        <v>2</v>
      </c>
      <c r="H34" s="10">
        <f>10*10*G34</f>
        <v>200</v>
      </c>
      <c r="I34" s="10"/>
      <c r="J34" s="10">
        <f t="shared" si="3"/>
        <v>400</v>
      </c>
      <c r="K34" s="10"/>
      <c r="L34" s="10" t="s">
        <v>53</v>
      </c>
      <c r="M34" s="13">
        <v>0</v>
      </c>
      <c r="N34" s="10">
        <f t="shared" si="1"/>
        <v>0</v>
      </c>
    </row>
    <row r="35" spans="1:14" x14ac:dyDescent="0.3">
      <c r="A35" s="10">
        <v>14000</v>
      </c>
      <c r="B35" s="10" t="str">
        <f t="shared" si="0"/>
        <v xml:space="preserve">IT - equipment - cables </v>
      </c>
      <c r="C35" s="10" t="s">
        <v>16</v>
      </c>
      <c r="D35" s="10" t="s">
        <v>38</v>
      </c>
      <c r="E35" s="10" t="s">
        <v>51</v>
      </c>
      <c r="F35" s="10"/>
      <c r="G35" s="10">
        <f>62+7</f>
        <v>69</v>
      </c>
      <c r="H35" s="10">
        <f>2*2*G35</f>
        <v>276</v>
      </c>
      <c r="I35" s="10"/>
      <c r="J35" s="10">
        <f t="shared" si="3"/>
        <v>19044</v>
      </c>
      <c r="K35" s="10"/>
      <c r="L35" s="10" t="s">
        <v>60</v>
      </c>
      <c r="M35" s="13">
        <v>0</v>
      </c>
      <c r="N35" s="10">
        <f t="shared" si="1"/>
        <v>0</v>
      </c>
    </row>
    <row r="36" spans="1:14" x14ac:dyDescent="0.3">
      <c r="A36" s="10">
        <v>10000</v>
      </c>
      <c r="B36" s="10" t="str">
        <f t="shared" si="0"/>
        <v>IT - equipment - routers</v>
      </c>
      <c r="C36" s="10" t="s">
        <v>16</v>
      </c>
      <c r="D36" s="10" t="s">
        <v>38</v>
      </c>
      <c r="E36" s="10" t="s">
        <v>64</v>
      </c>
      <c r="F36" s="10"/>
      <c r="G36" s="10">
        <v>1</v>
      </c>
      <c r="H36" s="10">
        <v>1000</v>
      </c>
      <c r="I36" s="10"/>
      <c r="J36" s="10">
        <f t="shared" si="3"/>
        <v>1000</v>
      </c>
      <c r="K36" s="10"/>
      <c r="L36" s="10" t="s">
        <v>65</v>
      </c>
      <c r="M36" s="13">
        <v>40</v>
      </c>
      <c r="N36" s="10">
        <f t="shared" si="1"/>
        <v>40</v>
      </c>
    </row>
    <row r="37" spans="1:14" x14ac:dyDescent="0.3">
      <c r="A37" s="10">
        <v>15001</v>
      </c>
      <c r="B37" s="10" t="str">
        <f t="shared" si="0"/>
        <v xml:space="preserve">Other </v>
      </c>
      <c r="C37" s="10" t="s">
        <v>16</v>
      </c>
      <c r="D37" s="10" t="s">
        <v>37</v>
      </c>
      <c r="E37" s="10" t="s">
        <v>54</v>
      </c>
      <c r="F37" s="10"/>
      <c r="G37" s="10">
        <v>4</v>
      </c>
      <c r="H37" s="10">
        <v>1000</v>
      </c>
      <c r="I37" s="10"/>
      <c r="J37" s="10">
        <f t="shared" si="3"/>
        <v>4000</v>
      </c>
      <c r="K37" s="10"/>
      <c r="L37" s="10" t="s">
        <v>55</v>
      </c>
      <c r="M37" s="13">
        <v>0</v>
      </c>
      <c r="N37" s="10">
        <f t="shared" si="1"/>
        <v>0</v>
      </c>
    </row>
    <row r="38" spans="1:14" x14ac:dyDescent="0.3">
      <c r="A38" s="10">
        <v>15000</v>
      </c>
      <c r="B38" s="10" t="str">
        <f t="shared" si="0"/>
        <v>IT - equipment - servers</v>
      </c>
      <c r="C38" s="10" t="s">
        <v>16</v>
      </c>
      <c r="D38" s="10" t="s">
        <v>38</v>
      </c>
      <c r="E38" s="10" t="s">
        <v>67</v>
      </c>
      <c r="F38" s="10"/>
      <c r="G38" s="10">
        <v>1</v>
      </c>
      <c r="H38" s="10">
        <v>2000</v>
      </c>
      <c r="I38" s="10"/>
      <c r="J38" s="10">
        <f t="shared" si="3"/>
        <v>2000</v>
      </c>
      <c r="K38" s="10"/>
      <c r="L38" s="10" t="s">
        <v>46</v>
      </c>
      <c r="M38" s="13">
        <v>200</v>
      </c>
      <c r="N38" s="10">
        <f t="shared" si="1"/>
        <v>200</v>
      </c>
    </row>
    <row r="39" spans="1:14" x14ac:dyDescent="0.3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3"/>
      <c r="N39" s="10"/>
    </row>
    <row r="40" spans="1:14" x14ac:dyDescent="0.3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3"/>
      <c r="N40" s="10"/>
    </row>
    <row r="41" spans="1:14" x14ac:dyDescent="0.3">
      <c r="A41" s="10">
        <v>15001</v>
      </c>
      <c r="B41" s="10" t="str">
        <f>LOOKUP(A41,$B$51:$B$57,$C$51:$C$57)</f>
        <v xml:space="preserve">Other </v>
      </c>
      <c r="C41" s="10" t="s">
        <v>16</v>
      </c>
      <c r="D41" s="10" t="s">
        <v>38</v>
      </c>
      <c r="E41" s="10" t="s">
        <v>49</v>
      </c>
      <c r="F41" s="10"/>
      <c r="G41" s="10">
        <v>1</v>
      </c>
      <c r="H41" s="10"/>
      <c r="I41" s="10"/>
      <c r="J41" s="10">
        <f t="shared" si="3"/>
        <v>0</v>
      </c>
      <c r="K41" s="10"/>
      <c r="L41" s="10" t="s">
        <v>66</v>
      </c>
      <c r="M41" s="13">
        <v>500</v>
      </c>
      <c r="N41" s="10">
        <f t="shared" si="1"/>
        <v>500</v>
      </c>
    </row>
    <row r="43" spans="1:14" x14ac:dyDescent="0.3">
      <c r="M43">
        <f>SUM(M3:M42)</f>
        <v>2715</v>
      </c>
      <c r="N43">
        <f>SUM(N3:N42)</f>
        <v>9015</v>
      </c>
    </row>
    <row r="48" spans="1:14" ht="15" thickBot="1" x14ac:dyDescent="0.35"/>
    <row r="49" spans="2:15" ht="29.4" thickBot="1" x14ac:dyDescent="0.35">
      <c r="B49" s="17" t="s">
        <v>0</v>
      </c>
      <c r="C49" s="16" t="s">
        <v>1</v>
      </c>
      <c r="D49" s="34" t="s">
        <v>32</v>
      </c>
      <c r="E49" s="35"/>
      <c r="F49" s="36"/>
      <c r="G49" s="18"/>
      <c r="H49" s="43" t="s">
        <v>59</v>
      </c>
      <c r="I49" s="35"/>
      <c r="J49" s="36"/>
      <c r="K49" s="31" t="s">
        <v>33</v>
      </c>
      <c r="L49" s="32"/>
      <c r="M49" s="33"/>
    </row>
    <row r="50" spans="2:15" x14ac:dyDescent="0.3">
      <c r="B50" s="3" t="s">
        <v>19</v>
      </c>
      <c r="C50" s="4"/>
      <c r="D50" s="37">
        <f>SUM(D51:F57)</f>
        <v>98944</v>
      </c>
      <c r="E50" s="38"/>
      <c r="F50" s="39"/>
      <c r="G50" s="19"/>
      <c r="H50" s="40" t="s">
        <v>19</v>
      </c>
      <c r="I50" s="41"/>
      <c r="J50" s="42"/>
      <c r="K50" s="37">
        <f>SUM(K51:M57)</f>
        <v>98944</v>
      </c>
      <c r="L50" s="38"/>
      <c r="M50" s="39"/>
    </row>
    <row r="51" spans="2:15" x14ac:dyDescent="0.3">
      <c r="B51" s="1">
        <v>10000</v>
      </c>
      <c r="C51" s="2" t="s">
        <v>11</v>
      </c>
      <c r="D51" s="23">
        <f t="shared" ref="D51:D57" si="5">SUMIF($A:$A,$B51,$J:$J)</f>
        <v>1400</v>
      </c>
      <c r="E51" s="24"/>
      <c r="F51" s="25"/>
      <c r="G51" s="20"/>
      <c r="H51" s="23" t="s">
        <v>23</v>
      </c>
      <c r="I51" s="24"/>
      <c r="J51" s="25"/>
      <c r="K51" s="23">
        <f t="shared" ref="K51:K57" si="6">SUMIF($D:$D,H51,$J:$J)</f>
        <v>8075</v>
      </c>
      <c r="L51" s="24"/>
      <c r="M51" s="25"/>
      <c r="N51" s="44"/>
      <c r="O51" s="44"/>
    </row>
    <row r="52" spans="2:15" x14ac:dyDescent="0.3">
      <c r="B52" s="1">
        <v>11000</v>
      </c>
      <c r="C52" s="2" t="s">
        <v>12</v>
      </c>
      <c r="D52" s="23">
        <f t="shared" si="5"/>
        <v>10500</v>
      </c>
      <c r="E52" s="24"/>
      <c r="F52" s="25"/>
      <c r="G52" s="20"/>
      <c r="H52" s="23" t="s">
        <v>31</v>
      </c>
      <c r="I52" s="24"/>
      <c r="J52" s="25"/>
      <c r="K52" s="23">
        <f t="shared" si="6"/>
        <v>11075</v>
      </c>
      <c r="L52" s="24"/>
      <c r="M52" s="25"/>
      <c r="N52" s="44"/>
      <c r="O52" s="44"/>
    </row>
    <row r="53" spans="2:15" x14ac:dyDescent="0.3">
      <c r="B53" s="1">
        <v>12000</v>
      </c>
      <c r="C53" s="2" t="s">
        <v>13</v>
      </c>
      <c r="D53" s="23">
        <f t="shared" si="5"/>
        <v>9600</v>
      </c>
      <c r="E53" s="24"/>
      <c r="F53" s="25"/>
      <c r="G53" s="20"/>
      <c r="H53" s="23" t="s">
        <v>34</v>
      </c>
      <c r="I53" s="24"/>
      <c r="J53" s="25"/>
      <c r="K53" s="23">
        <f t="shared" si="6"/>
        <v>13075</v>
      </c>
      <c r="L53" s="24"/>
      <c r="M53" s="25"/>
      <c r="N53" s="44"/>
      <c r="O53" s="44"/>
    </row>
    <row r="54" spans="2:15" x14ac:dyDescent="0.3">
      <c r="B54" s="1">
        <v>13000</v>
      </c>
      <c r="C54" s="2" t="s">
        <v>14</v>
      </c>
      <c r="D54" s="23">
        <f t="shared" si="5"/>
        <v>48000</v>
      </c>
      <c r="E54" s="24"/>
      <c r="F54" s="25"/>
      <c r="G54" s="20"/>
      <c r="H54" s="23" t="s">
        <v>35</v>
      </c>
      <c r="I54" s="24"/>
      <c r="J54" s="25"/>
      <c r="K54" s="23">
        <f t="shared" si="6"/>
        <v>13075</v>
      </c>
      <c r="L54" s="24"/>
      <c r="M54" s="25"/>
      <c r="N54" s="44"/>
      <c r="O54" s="44"/>
    </row>
    <row r="55" spans="2:15" x14ac:dyDescent="0.3">
      <c r="B55" s="1">
        <v>14000</v>
      </c>
      <c r="C55" s="2" t="s">
        <v>58</v>
      </c>
      <c r="D55" s="23">
        <f t="shared" si="5"/>
        <v>19444</v>
      </c>
      <c r="E55" s="24"/>
      <c r="F55" s="25"/>
      <c r="G55" s="20"/>
      <c r="H55" s="23" t="s">
        <v>36</v>
      </c>
      <c r="I55" s="24"/>
      <c r="J55" s="25"/>
      <c r="K55" s="23">
        <f t="shared" si="6"/>
        <v>13075</v>
      </c>
      <c r="L55" s="24"/>
      <c r="M55" s="25"/>
      <c r="N55" s="44"/>
      <c r="O55" s="44"/>
    </row>
    <row r="56" spans="2:15" x14ac:dyDescent="0.3">
      <c r="B56" s="1">
        <v>15000</v>
      </c>
      <c r="C56" s="2" t="s">
        <v>15</v>
      </c>
      <c r="D56" s="23">
        <f t="shared" si="5"/>
        <v>6000</v>
      </c>
      <c r="E56" s="24"/>
      <c r="F56" s="25"/>
      <c r="G56" s="20"/>
      <c r="H56" s="23" t="s">
        <v>37</v>
      </c>
      <c r="I56" s="24"/>
      <c r="J56" s="25"/>
      <c r="K56" s="23">
        <f t="shared" si="6"/>
        <v>12075</v>
      </c>
      <c r="L56" s="24"/>
      <c r="M56" s="25"/>
      <c r="N56" s="44"/>
      <c r="O56" s="44"/>
    </row>
    <row r="57" spans="2:15" ht="15" thickBot="1" x14ac:dyDescent="0.35">
      <c r="B57" s="1">
        <v>15001</v>
      </c>
      <c r="C57" s="2" t="s">
        <v>50</v>
      </c>
      <c r="D57" s="23">
        <f t="shared" si="5"/>
        <v>4000</v>
      </c>
      <c r="E57" s="24"/>
      <c r="F57" s="25"/>
      <c r="G57" s="20"/>
      <c r="H57" s="23" t="s">
        <v>38</v>
      </c>
      <c r="I57" s="24"/>
      <c r="J57" s="25"/>
      <c r="K57" s="23">
        <f t="shared" si="6"/>
        <v>28494</v>
      </c>
      <c r="L57" s="24"/>
      <c r="M57" s="25"/>
      <c r="N57" s="44"/>
      <c r="O57" s="44"/>
    </row>
    <row r="58" spans="2:15" ht="15" thickBot="1" x14ac:dyDescent="0.35">
      <c r="B58" s="29" t="s">
        <v>2</v>
      </c>
      <c r="C58" s="30"/>
      <c r="D58" s="26">
        <f>SUM(D51:F57)</f>
        <v>98944</v>
      </c>
      <c r="E58" s="27"/>
      <c r="F58" s="28"/>
      <c r="G58" s="21"/>
      <c r="H58" s="5"/>
      <c r="I58" s="6"/>
      <c r="J58" s="15"/>
      <c r="K58" s="26">
        <f>SUM(K50)</f>
        <v>98944</v>
      </c>
      <c r="L58" s="27"/>
      <c r="M58" s="28"/>
      <c r="O58" s="22">
        <f>K58-D58</f>
        <v>0</v>
      </c>
    </row>
  </sheetData>
  <mergeCells count="37">
    <mergeCell ref="H49:J49"/>
    <mergeCell ref="N53:O53"/>
    <mergeCell ref="N52:O52"/>
    <mergeCell ref="N51:O51"/>
    <mergeCell ref="H57:J57"/>
    <mergeCell ref="H56:J56"/>
    <mergeCell ref="H55:J55"/>
    <mergeCell ref="H54:J54"/>
    <mergeCell ref="H53:J53"/>
    <mergeCell ref="H52:J52"/>
    <mergeCell ref="H51:J51"/>
    <mergeCell ref="K56:M56"/>
    <mergeCell ref="N57:O57"/>
    <mergeCell ref="N56:O56"/>
    <mergeCell ref="N55:O55"/>
    <mergeCell ref="N54:O54"/>
    <mergeCell ref="K49:M49"/>
    <mergeCell ref="K52:M52"/>
    <mergeCell ref="K53:M53"/>
    <mergeCell ref="D56:F56"/>
    <mergeCell ref="D52:F52"/>
    <mergeCell ref="D53:F53"/>
    <mergeCell ref="D54:F54"/>
    <mergeCell ref="D49:F49"/>
    <mergeCell ref="D50:F50"/>
    <mergeCell ref="K50:M50"/>
    <mergeCell ref="D51:F51"/>
    <mergeCell ref="K51:M51"/>
    <mergeCell ref="D55:F55"/>
    <mergeCell ref="K55:M55"/>
    <mergeCell ref="K54:M54"/>
    <mergeCell ref="H50:J50"/>
    <mergeCell ref="D57:F57"/>
    <mergeCell ref="K57:M57"/>
    <mergeCell ref="K58:M58"/>
    <mergeCell ref="B58:C58"/>
    <mergeCell ref="D58:F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Caldwell</dc:creator>
  <cp:lastModifiedBy>Lily Caldwell</cp:lastModifiedBy>
  <dcterms:created xsi:type="dcterms:W3CDTF">2026-02-19T10:10:02Z</dcterms:created>
  <dcterms:modified xsi:type="dcterms:W3CDTF">2026-02-23T10:14:14Z</dcterms:modified>
</cp:coreProperties>
</file>