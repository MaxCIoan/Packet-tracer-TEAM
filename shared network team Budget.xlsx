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a\Desktop\Project 1\"/>
    </mc:Choice>
  </mc:AlternateContent>
  <xr:revisionPtr revIDLastSave="0" documentId="13_ncr:1_{15EAEDB9-CF92-4D94-89BA-E63A5A63CDFE}" xr6:coauthVersionLast="47" xr6:coauthVersionMax="47" xr10:uidLastSave="{00000000-0000-0000-0000-000000000000}"/>
  <bookViews>
    <workbookView xWindow="-120" yWindow="-120" windowWidth="29040" windowHeight="17520" xr2:uid="{58261409-75FE-4CCD-BF1A-46427F60D179}"/>
  </bookViews>
  <sheets>
    <sheet name="Budget sheet" sheetId="1" r:id="rId1"/>
  </sheets>
  <definedNames>
    <definedName name="_xlnm._FilterDatabase" localSheetId="0" hidden="1">'Budget sheet'!$A$15:$O$53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N54" i="1"/>
  <c r="N53" i="1"/>
  <c r="J54" i="1"/>
  <c r="J53" i="1"/>
  <c r="B53" i="1"/>
  <c r="N52" i="1"/>
  <c r="J52" i="1"/>
  <c r="B52" i="1"/>
  <c r="N22" i="1"/>
  <c r="N51" i="1"/>
  <c r="J51" i="1"/>
  <c r="B51" i="1"/>
  <c r="N49" i="1"/>
  <c r="J49" i="1"/>
  <c r="B49" i="1"/>
  <c r="J22" i="1"/>
  <c r="B22" i="1"/>
  <c r="N50" i="1"/>
  <c r="N47" i="1"/>
  <c r="N43" i="1"/>
  <c r="J43" i="1"/>
  <c r="B43" i="1"/>
  <c r="J50" i="1"/>
  <c r="B50" i="1"/>
  <c r="H47" i="1"/>
  <c r="J47" i="1" s="1"/>
  <c r="N48" i="1"/>
  <c r="B47" i="1"/>
  <c r="B48" i="1"/>
  <c r="N55" i="1"/>
  <c r="N46" i="1"/>
  <c r="N45" i="1"/>
  <c r="N44" i="1"/>
  <c r="J44" i="1"/>
  <c r="B44" i="1"/>
  <c r="N39" i="1"/>
  <c r="J39" i="1"/>
  <c r="B39" i="1"/>
  <c r="B35" i="1"/>
  <c r="J35" i="1"/>
  <c r="N35" i="1"/>
  <c r="N31" i="1"/>
  <c r="J31" i="1"/>
  <c r="B31" i="1"/>
  <c r="N42" i="1"/>
  <c r="N41" i="1"/>
  <c r="N40" i="1"/>
  <c r="N38" i="1"/>
  <c r="N37" i="1"/>
  <c r="N36" i="1"/>
  <c r="N34" i="1"/>
  <c r="N33" i="1"/>
  <c r="J34" i="1"/>
  <c r="J33" i="1"/>
  <c r="N32" i="1"/>
  <c r="N30" i="1"/>
  <c r="N29" i="1"/>
  <c r="N28" i="1"/>
  <c r="N27" i="1"/>
  <c r="N26" i="1"/>
  <c r="N25" i="1"/>
  <c r="N24" i="1"/>
  <c r="N23" i="1"/>
  <c r="N21" i="1"/>
  <c r="N20" i="1"/>
  <c r="N19" i="1"/>
  <c r="N18" i="1"/>
  <c r="N17" i="1"/>
  <c r="J17" i="1"/>
  <c r="N16" i="1"/>
  <c r="M57" i="1"/>
  <c r="J18" i="1"/>
  <c r="J19" i="1"/>
  <c r="J20" i="1"/>
  <c r="J21" i="1"/>
  <c r="J23" i="1"/>
  <c r="J24" i="1"/>
  <c r="J25" i="1"/>
  <c r="J26" i="1"/>
  <c r="J27" i="1"/>
  <c r="J28" i="1"/>
  <c r="J29" i="1"/>
  <c r="J30" i="1"/>
  <c r="J32" i="1"/>
  <c r="J36" i="1"/>
  <c r="J37" i="1"/>
  <c r="J38" i="1"/>
  <c r="J40" i="1"/>
  <c r="J41" i="1"/>
  <c r="J42" i="1"/>
  <c r="J45" i="1"/>
  <c r="J46" i="1"/>
  <c r="J55" i="1"/>
  <c r="J16" i="1"/>
  <c r="B45" i="1"/>
  <c r="B42" i="1"/>
  <c r="B41" i="1"/>
  <c r="B40" i="1"/>
  <c r="B38" i="1"/>
  <c r="B37" i="1"/>
  <c r="B19" i="1"/>
  <c r="B55" i="1"/>
  <c r="B46" i="1"/>
  <c r="B36" i="1"/>
  <c r="B34" i="1"/>
  <c r="B33" i="1"/>
  <c r="B32" i="1"/>
  <c r="B30" i="1"/>
  <c r="B29" i="1"/>
  <c r="B28" i="1"/>
  <c r="B27" i="1"/>
  <c r="B26" i="1"/>
  <c r="B25" i="1"/>
  <c r="B24" i="1"/>
  <c r="B23" i="1"/>
  <c r="B21" i="1"/>
  <c r="B20" i="1"/>
  <c r="B18" i="1"/>
  <c r="B17" i="1"/>
  <c r="B16" i="1"/>
  <c r="D9" i="1" l="1"/>
  <c r="H48" i="1"/>
  <c r="J48" i="1" s="1"/>
  <c r="D8" i="1" s="1"/>
  <c r="D10" i="1"/>
  <c r="D6" i="1"/>
  <c r="D4" i="1"/>
  <c r="D7" i="1"/>
  <c r="D5" i="1"/>
  <c r="N57" i="1"/>
  <c r="D11" i="1" l="1"/>
  <c r="D3" i="1"/>
  <c r="K8" i="1" l="1"/>
  <c r="K9" i="1"/>
  <c r="K7" i="1"/>
  <c r="K5" i="1"/>
  <c r="K6" i="1"/>
  <c r="K10" i="1"/>
  <c r="K4" i="1"/>
  <c r="K3" i="1" l="1"/>
  <c r="K11" i="1" s="1"/>
  <c r="O11" i="1" s="1"/>
</calcChain>
</file>

<file path=xl/sharedStrings.xml><?xml version="1.0" encoding="utf-8"?>
<sst xmlns="http://schemas.openxmlformats.org/spreadsheetml/2006/main" count="194" uniqueCount="73">
  <si>
    <t>Accounting code</t>
  </si>
  <si>
    <t>Accounting code description</t>
  </si>
  <si>
    <t xml:space="preserve">TOTAL </t>
  </si>
  <si>
    <t>Acc. code</t>
  </si>
  <si>
    <t>Acc. Code description</t>
  </si>
  <si>
    <t>Cost Center</t>
  </si>
  <si>
    <t>Qty</t>
  </si>
  <si>
    <t>Unit Price</t>
  </si>
  <si>
    <t>Currency</t>
  </si>
  <si>
    <t>Total (EUR)</t>
  </si>
  <si>
    <t>Comment</t>
  </si>
  <si>
    <t>IT - equipment - routers</t>
  </si>
  <si>
    <t>IT- equipment - switches</t>
  </si>
  <si>
    <t>IT - equipment - periphery (telephony and printers)</t>
  </si>
  <si>
    <t>IT - equipment - end users (computers and laptops)</t>
  </si>
  <si>
    <t>IT - equipment - servers</t>
  </si>
  <si>
    <t>network1</t>
  </si>
  <si>
    <t>Description Name</t>
  </si>
  <si>
    <t>SW-1</t>
  </si>
  <si>
    <t>IT equipment</t>
  </si>
  <si>
    <t>Management</t>
  </si>
  <si>
    <t>Watts</t>
  </si>
  <si>
    <t>Zone</t>
  </si>
  <si>
    <t>Mgmt</t>
  </si>
  <si>
    <t>IP Phone</t>
  </si>
  <si>
    <t>printer0</t>
  </si>
  <si>
    <t>router1</t>
  </si>
  <si>
    <t>PC workstations</t>
  </si>
  <si>
    <t>Total Watts</t>
  </si>
  <si>
    <t>Router-firewall</t>
  </si>
  <si>
    <t>SW-2</t>
  </si>
  <si>
    <t>Study</t>
  </si>
  <si>
    <t>By Accounting Code</t>
  </si>
  <si>
    <t>By Cost Center</t>
  </si>
  <si>
    <t>Production</t>
  </si>
  <si>
    <t>Support 1</t>
  </si>
  <si>
    <t>Support 2</t>
  </si>
  <si>
    <t>IT department</t>
  </si>
  <si>
    <t>Connectivity/DMZ</t>
  </si>
  <si>
    <t>SW-3</t>
  </si>
  <si>
    <t xml:space="preserve">WAN + Firewall </t>
  </si>
  <si>
    <t>Printer</t>
  </si>
  <si>
    <t>SW-4</t>
  </si>
  <si>
    <t>SW-5</t>
  </si>
  <si>
    <t>SW-6</t>
  </si>
  <si>
    <t>SW-7</t>
  </si>
  <si>
    <t>DMZ</t>
  </si>
  <si>
    <t>DHCP Server</t>
  </si>
  <si>
    <t>DNS Server</t>
  </si>
  <si>
    <t>CLOUD-ISP</t>
  </si>
  <si>
    <t xml:space="preserve">Other </t>
  </si>
  <si>
    <t>Ethernet cables</t>
  </si>
  <si>
    <t>Optic Cables</t>
  </si>
  <si>
    <t>Cost 10euros per m, avg 10m per connection - Fiber optic (envelope)</t>
  </si>
  <si>
    <t>Rack</t>
  </si>
  <si>
    <t>Standard rack for switches, routers, etc</t>
  </si>
  <si>
    <t>WLAN</t>
  </si>
  <si>
    <t>Wireless router</t>
  </si>
  <si>
    <t xml:space="preserve">IT - equipment - cables </t>
  </si>
  <si>
    <t>Work Zone Name</t>
  </si>
  <si>
    <t>cost 2euros per m, avg 2 m per connection, cat7- Ethernet cables (envelope)</t>
  </si>
  <si>
    <t>Router2</t>
  </si>
  <si>
    <t>LAN2</t>
  </si>
  <si>
    <t>LAN1</t>
  </si>
  <si>
    <t>NAT Router</t>
  </si>
  <si>
    <t>NAT router</t>
  </si>
  <si>
    <t>ISP - not counted as outside of internal network</t>
  </si>
  <si>
    <t>STMP Server</t>
  </si>
  <si>
    <t>VOICE</t>
  </si>
  <si>
    <t>VOICE VOIP telephony</t>
  </si>
  <si>
    <t>AAA Server</t>
  </si>
  <si>
    <t>FTP Server</t>
  </si>
  <si>
    <t>Secure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</si>
</sst>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-;\-* #,##0.00\ _F_-;_-* &quot;-&quot;??\ _F_-;_-@_-"/>
    <numFmt numFmtId="165" formatCode="#,##0_ ;\-#,##0\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24"/>
      </patternFill>
    </fill>
    <fill>
      <patternFill patternType="solid">
        <fgColor theme="0"/>
        <bgColor indexed="24"/>
      </patternFill>
    </fill>
    <fill>
      <patternFill patternType="solid">
        <fgColor rgb="FFFF9966"/>
        <bgColor indexed="2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</cellStyleXfs>
  <cellXfs count="45">
    <xf numFmtId="0" fontId="0" fillId="0" borderId="0" xfId="0"/>
    <xf numFmtId="0" fontId="4" fillId="3" borderId="6" xfId="1" applyFont="1" applyFill="1" applyBorder="1" applyAlignment="1">
      <alignment horizontal="center"/>
    </xf>
    <xf numFmtId="0" fontId="4" fillId="3" borderId="7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3" fillId="2" borderId="7" xfId="1" applyFont="1" applyFill="1" applyBorder="1"/>
    <xf numFmtId="165" fontId="3" fillId="4" borderId="1" xfId="3" applyNumberFormat="1" applyFont="1" applyFill="1" applyBorder="1" applyAlignment="1" applyProtection="1">
      <alignment horizontal="center" vertical="center"/>
    </xf>
    <xf numFmtId="165" fontId="3" fillId="4" borderId="2" xfId="3" applyNumberFormat="1" applyFont="1" applyFill="1" applyBorder="1" applyAlignment="1" applyProtection="1">
      <alignment horizontal="center"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0" fillId="0" borderId="10" xfId="0" applyBorder="1"/>
    <xf numFmtId="0" fontId="5" fillId="0" borderId="12" xfId="0" applyFont="1" applyBorder="1" applyAlignment="1">
      <alignment wrapText="1"/>
    </xf>
    <xf numFmtId="0" fontId="5" fillId="0" borderId="13" xfId="0" applyFont="1" applyBorder="1"/>
    <xf numFmtId="0" fontId="0" fillId="0" borderId="14" xfId="0" applyBorder="1"/>
    <xf numFmtId="0" fontId="5" fillId="0" borderId="10" xfId="0" applyFont="1" applyBorder="1"/>
    <xf numFmtId="165" fontId="3" fillId="4" borderId="3" xfId="3" applyNumberFormat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165" fontId="3" fillId="0" borderId="0" xfId="3" applyNumberFormat="1" applyFont="1" applyFill="1" applyBorder="1" applyAlignment="1" applyProtection="1">
      <alignment horizontal="center"/>
    </xf>
    <xf numFmtId="165" fontId="4" fillId="0" borderId="0" xfId="3" applyNumberFormat="1" applyFont="1" applyFill="1" applyBorder="1" applyAlignment="1" applyProtection="1">
      <alignment horizontal="center"/>
    </xf>
    <xf numFmtId="165" fontId="3" fillId="0" borderId="0" xfId="3" applyNumberFormat="1" applyFont="1" applyFill="1" applyBorder="1" applyAlignment="1" applyProtection="1">
      <alignment horizontal="center" vertical="center"/>
    </xf>
    <xf numFmtId="165" fontId="6" fillId="0" borderId="15" xfId="0" applyNumberFormat="1" applyFont="1" applyBorder="1"/>
    <xf numFmtId="165" fontId="4" fillId="3" borderId="8" xfId="3" applyNumberFormat="1" applyFont="1" applyFill="1" applyBorder="1" applyAlignment="1" applyProtection="1">
      <alignment horizontal="center"/>
    </xf>
    <xf numFmtId="165" fontId="4" fillId="3" borderId="9" xfId="3" applyNumberFormat="1" applyFont="1" applyFill="1" applyBorder="1" applyAlignment="1" applyProtection="1">
      <alignment horizontal="center"/>
    </xf>
    <xf numFmtId="165" fontId="4" fillId="3" borderId="7" xfId="3" applyNumberFormat="1" applyFont="1" applyFill="1" applyBorder="1" applyAlignment="1" applyProtection="1">
      <alignment horizontal="center"/>
    </xf>
    <xf numFmtId="165" fontId="3" fillId="4" borderId="1" xfId="3" applyNumberFormat="1" applyFont="1" applyFill="1" applyBorder="1" applyAlignment="1" applyProtection="1">
      <alignment horizontal="center" vertical="center"/>
    </xf>
    <xf numFmtId="165" fontId="3" fillId="4" borderId="2" xfId="3" applyNumberFormat="1" applyFont="1" applyFill="1" applyBorder="1" applyAlignment="1" applyProtection="1">
      <alignment horizontal="center" vertical="center"/>
    </xf>
    <xf numFmtId="165" fontId="3" fillId="4" borderId="3" xfId="3" applyNumberFormat="1" applyFont="1" applyFill="1" applyBorder="1" applyAlignment="1" applyProtection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3" fontId="3" fillId="2" borderId="3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165" fontId="3" fillId="2" borderId="4" xfId="3" applyNumberFormat="1" applyFont="1" applyFill="1" applyBorder="1" applyAlignment="1" applyProtection="1">
      <alignment horizontal="center"/>
    </xf>
    <xf numFmtId="165" fontId="3" fillId="2" borderId="5" xfId="3" applyNumberFormat="1" applyFont="1" applyFill="1" applyBorder="1" applyAlignment="1" applyProtection="1">
      <alignment horizontal="center"/>
    </xf>
    <xf numFmtId="165" fontId="3" fillId="2" borderId="16" xfId="3" applyNumberFormat="1" applyFont="1" applyFill="1" applyBorder="1" applyAlignment="1" applyProtection="1">
      <alignment horizontal="center"/>
    </xf>
    <xf numFmtId="0" fontId="3" fillId="2" borderId="1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4">
    <cellStyle name="Comma 2 3" xfId="3" xr:uid="{813095FF-7F44-43B3-8E3E-7506F53FA7FF}"/>
    <cellStyle name="Normal" xfId="0" builtinId="0"/>
    <cellStyle name="Normal 2" xfId="2" xr:uid="{8B7671C3-94A6-4E20-B253-D4D5EBEC7ED3}"/>
    <cellStyle name="Normal 3" xfId="1" xr:uid="{520D4722-4DD0-4BB5-9565-FC9386ABC2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4627-C2A2-4924-A3A7-17B2D83EA8DD}">
  <dimension ref="A1:O72"/>
  <sheetViews>
    <sheetView tabSelected="1" workbookViewId="0">
      <selection activeCell="D11" sqref="D11:F11"/>
    </sheetView>
  </sheetViews>
  <sheetFormatPr defaultRowHeight="14.4" x14ac:dyDescent="0.3"/>
  <cols>
    <col min="1" max="1" width="11.77734375" bestFit="1" customWidth="1"/>
    <col min="2" max="2" width="42.77734375" bestFit="1" customWidth="1"/>
    <col min="3" max="4" width="21.109375" customWidth="1"/>
    <col min="5" max="5" width="14.44140625" bestFit="1" customWidth="1"/>
    <col min="6" max="6" width="3.33203125" customWidth="1"/>
    <col min="7" max="7" width="9.33203125" customWidth="1"/>
    <col min="8" max="8" width="11.5546875" customWidth="1"/>
    <col min="9" max="9" width="11.77734375" hidden="1" customWidth="1"/>
    <col min="10" max="10" width="14.33203125" customWidth="1"/>
    <col min="11" max="11" width="3.109375" customWidth="1"/>
    <col min="12" max="12" width="62.33203125" customWidth="1"/>
    <col min="14" max="14" width="14.44140625" customWidth="1"/>
  </cols>
  <sheetData>
    <row r="1" spans="1:15" ht="15" thickBot="1" x14ac:dyDescent="0.35"/>
    <row r="2" spans="1:15" ht="29.4" thickBot="1" x14ac:dyDescent="0.35">
      <c r="B2" s="17" t="s">
        <v>0</v>
      </c>
      <c r="C2" s="16" t="s">
        <v>1</v>
      </c>
      <c r="D2" s="34" t="s">
        <v>32</v>
      </c>
      <c r="E2" s="35"/>
      <c r="F2" s="36"/>
      <c r="H2" s="43" t="s">
        <v>59</v>
      </c>
      <c r="I2" s="35"/>
      <c r="J2" s="36"/>
      <c r="K2" s="31" t="s">
        <v>33</v>
      </c>
      <c r="L2" s="32"/>
      <c r="M2" s="33"/>
    </row>
    <row r="3" spans="1:15" x14ac:dyDescent="0.3">
      <c r="B3" s="3" t="s">
        <v>19</v>
      </c>
      <c r="C3" s="4"/>
      <c r="D3" s="37">
        <f>SUM(D4:F10)</f>
        <v>106180</v>
      </c>
      <c r="E3" s="38"/>
      <c r="F3" s="39"/>
      <c r="H3" s="40" t="s">
        <v>19</v>
      </c>
      <c r="I3" s="41"/>
      <c r="J3" s="42"/>
      <c r="K3" s="37">
        <f>SUM(K4:M10)</f>
        <v>106180</v>
      </c>
      <c r="L3" s="38"/>
      <c r="M3" s="39"/>
    </row>
    <row r="4" spans="1:15" x14ac:dyDescent="0.3">
      <c r="B4" s="1">
        <v>10000</v>
      </c>
      <c r="C4" s="2" t="s">
        <v>11</v>
      </c>
      <c r="D4" s="23">
        <f>SUMIF($A:$A,$B4,$J:$J)</f>
        <v>2580</v>
      </c>
      <c r="E4" s="24"/>
      <c r="F4" s="25"/>
      <c r="H4" s="23" t="s">
        <v>23</v>
      </c>
      <c r="I4" s="24"/>
      <c r="J4" s="25"/>
      <c r="K4" s="23">
        <f>SUMIF($D:$D,H4,$J:$J)</f>
        <v>8075</v>
      </c>
      <c r="L4" s="24"/>
      <c r="M4" s="25"/>
    </row>
    <row r="5" spans="1:15" x14ac:dyDescent="0.3">
      <c r="B5" s="1">
        <v>11000</v>
      </c>
      <c r="C5" s="2" t="s">
        <v>12</v>
      </c>
      <c r="D5" s="23">
        <f>SUMIF($A:$A,$B5,$J:$J)</f>
        <v>12000</v>
      </c>
      <c r="E5" s="24"/>
      <c r="F5" s="25"/>
      <c r="H5" s="23" t="s">
        <v>31</v>
      </c>
      <c r="I5" s="24"/>
      <c r="J5" s="25"/>
      <c r="K5" s="23">
        <f>SUMIF($D:$D,H5,$J:$J)</f>
        <v>11075</v>
      </c>
      <c r="L5" s="24"/>
      <c r="M5" s="25"/>
    </row>
    <row r="6" spans="1:15" x14ac:dyDescent="0.3">
      <c r="B6" s="1">
        <v>12000</v>
      </c>
      <c r="C6" s="2" t="s">
        <v>13</v>
      </c>
      <c r="D6" s="23">
        <f>SUMIF($A:$A,$B6,$J:$J)</f>
        <v>9600</v>
      </c>
      <c r="E6" s="24"/>
      <c r="F6" s="25"/>
      <c r="H6" s="23" t="s">
        <v>34</v>
      </c>
      <c r="I6" s="24"/>
      <c r="J6" s="25"/>
      <c r="K6" s="23">
        <f>SUMIF($D:$D,H6,$J:$J)</f>
        <v>13075</v>
      </c>
      <c r="L6" s="24"/>
      <c r="M6" s="25"/>
    </row>
    <row r="7" spans="1:15" x14ac:dyDescent="0.3">
      <c r="B7" s="1">
        <v>13000</v>
      </c>
      <c r="C7" s="2" t="s">
        <v>14</v>
      </c>
      <c r="D7" s="23">
        <f>SUMIF($A:$A,$B7,$J:$J)</f>
        <v>48000</v>
      </c>
      <c r="E7" s="24"/>
      <c r="F7" s="25"/>
      <c r="H7" s="23" t="s">
        <v>35</v>
      </c>
      <c r="I7" s="24"/>
      <c r="J7" s="25"/>
      <c r="K7" s="23">
        <f>SUMIF($D:$D,H7,$J:$J)</f>
        <v>13075</v>
      </c>
      <c r="L7" s="24"/>
      <c r="M7" s="25"/>
    </row>
    <row r="8" spans="1:15" x14ac:dyDescent="0.3">
      <c r="B8" s="1">
        <v>14000</v>
      </c>
      <c r="C8" s="2" t="s">
        <v>58</v>
      </c>
      <c r="D8" s="23">
        <f>SUMIF($A:$A,$B8,$J:$J)</f>
        <v>20000</v>
      </c>
      <c r="E8" s="24"/>
      <c r="F8" s="25"/>
      <c r="H8" s="23" t="s">
        <v>36</v>
      </c>
      <c r="I8" s="24"/>
      <c r="J8" s="25"/>
      <c r="K8" s="23">
        <f>SUMIF($D:$D,H8,$J:$J)</f>
        <v>13075</v>
      </c>
      <c r="L8" s="24"/>
      <c r="M8" s="25"/>
    </row>
    <row r="9" spans="1:15" x14ac:dyDescent="0.3">
      <c r="B9" s="1">
        <v>15000</v>
      </c>
      <c r="C9" s="2" t="s">
        <v>15</v>
      </c>
      <c r="D9" s="23">
        <f>SUMIF($A:$A,$B9,$J:$J)</f>
        <v>10000</v>
      </c>
      <c r="E9" s="24"/>
      <c r="F9" s="25"/>
      <c r="H9" s="23" t="s">
        <v>37</v>
      </c>
      <c r="I9" s="24"/>
      <c r="J9" s="25"/>
      <c r="K9" s="23">
        <f>SUMIF($D:$D,H9,$J:$J)</f>
        <v>12075</v>
      </c>
      <c r="L9" s="24"/>
      <c r="M9" s="25"/>
    </row>
    <row r="10" spans="1:15" ht="15" thickBot="1" x14ac:dyDescent="0.35">
      <c r="B10" s="1">
        <v>15001</v>
      </c>
      <c r="C10" s="2" t="s">
        <v>50</v>
      </c>
      <c r="D10" s="23">
        <f>SUMIF($A:$A,$B10,$J:$J)</f>
        <v>4000</v>
      </c>
      <c r="E10" s="24"/>
      <c r="F10" s="25"/>
      <c r="H10" s="23" t="s">
        <v>38</v>
      </c>
      <c r="I10" s="24"/>
      <c r="J10" s="25"/>
      <c r="K10" s="23">
        <f>SUMIF($D:$D,H10,$J:$J)</f>
        <v>35730</v>
      </c>
      <c r="L10" s="24"/>
      <c r="M10" s="25"/>
    </row>
    <row r="11" spans="1:15" ht="15" thickBot="1" x14ac:dyDescent="0.35">
      <c r="B11" s="29" t="s">
        <v>2</v>
      </c>
      <c r="C11" s="30"/>
      <c r="D11" s="26">
        <f>SUM(D4:F10)</f>
        <v>106180</v>
      </c>
      <c r="E11" s="27"/>
      <c r="F11" s="28"/>
      <c r="H11" s="5"/>
      <c r="I11" s="6"/>
      <c r="J11" s="15"/>
      <c r="K11" s="26">
        <f>SUM(K3)</f>
        <v>106180</v>
      </c>
      <c r="L11" s="27"/>
      <c r="M11" s="28"/>
      <c r="O11" s="22">
        <f>K11-D11</f>
        <v>0</v>
      </c>
    </row>
    <row r="14" spans="1:15" ht="15" thickBot="1" x14ac:dyDescent="0.35"/>
    <row r="15" spans="1:15" s="7" customFormat="1" ht="48" customHeight="1" x14ac:dyDescent="0.35">
      <c r="A15" s="8" t="s">
        <v>3</v>
      </c>
      <c r="B15" s="9" t="s">
        <v>4</v>
      </c>
      <c r="C15" s="9" t="s">
        <v>5</v>
      </c>
      <c r="D15" s="9" t="s">
        <v>22</v>
      </c>
      <c r="E15" s="11" t="s">
        <v>17</v>
      </c>
      <c r="F15" s="9"/>
      <c r="G15" s="9" t="s">
        <v>6</v>
      </c>
      <c r="H15" s="9" t="s">
        <v>7</v>
      </c>
      <c r="I15" s="9" t="s">
        <v>8</v>
      </c>
      <c r="J15" s="9" t="s">
        <v>9</v>
      </c>
      <c r="K15" s="9"/>
      <c r="L15" s="9" t="s">
        <v>10</v>
      </c>
      <c r="M15" s="12" t="s">
        <v>21</v>
      </c>
      <c r="N15" s="14" t="s">
        <v>28</v>
      </c>
    </row>
    <row r="16" spans="1:15" x14ac:dyDescent="0.3">
      <c r="A16" s="10">
        <v>13000</v>
      </c>
      <c r="B16" s="10" t="str">
        <f t="shared" ref="B16:B54" si="0">LOOKUP(A16,$B$4:$B$10,$C$4:$C$10)</f>
        <v>IT - equipment - end users (computers and laptops)</v>
      </c>
      <c r="C16" s="10" t="s">
        <v>16</v>
      </c>
      <c r="D16" s="10" t="s">
        <v>23</v>
      </c>
      <c r="E16" s="10" t="s">
        <v>27</v>
      </c>
      <c r="F16" s="10"/>
      <c r="G16" s="10">
        <v>5</v>
      </c>
      <c r="H16" s="10">
        <v>1000</v>
      </c>
      <c r="I16" s="10"/>
      <c r="J16" s="10">
        <f>G16*H16</f>
        <v>5000</v>
      </c>
      <c r="K16" s="10"/>
      <c r="L16" s="10" t="s">
        <v>20</v>
      </c>
      <c r="M16" s="13">
        <v>150</v>
      </c>
      <c r="N16" s="10">
        <f t="shared" ref="N16:N55" si="1">M16*G16</f>
        <v>750</v>
      </c>
    </row>
    <row r="17" spans="1:14" x14ac:dyDescent="0.3">
      <c r="A17" s="10">
        <v>12000</v>
      </c>
      <c r="B17" s="10" t="str">
        <f t="shared" si="0"/>
        <v>IT - equipment - periphery (telephony and printers)</v>
      </c>
      <c r="C17" s="10" t="s">
        <v>16</v>
      </c>
      <c r="D17" s="10" t="s">
        <v>23</v>
      </c>
      <c r="E17" s="10" t="s">
        <v>25</v>
      </c>
      <c r="F17" s="10"/>
      <c r="G17" s="10">
        <v>1</v>
      </c>
      <c r="H17" s="10">
        <v>1500</v>
      </c>
      <c r="I17" s="10"/>
      <c r="J17" s="10">
        <f t="shared" ref="J17" si="2">G17*H17</f>
        <v>1500</v>
      </c>
      <c r="K17" s="10"/>
      <c r="L17" s="10" t="s">
        <v>20</v>
      </c>
      <c r="M17" s="13">
        <v>30</v>
      </c>
      <c r="N17" s="10">
        <f t="shared" si="1"/>
        <v>30</v>
      </c>
    </row>
    <row r="18" spans="1:14" x14ac:dyDescent="0.3">
      <c r="A18" s="10">
        <v>12000</v>
      </c>
      <c r="B18" s="10" t="str">
        <f t="shared" si="0"/>
        <v>IT - equipment - periphery (telephony and printers)</v>
      </c>
      <c r="C18" s="10" t="s">
        <v>16</v>
      </c>
      <c r="D18" s="10" t="s">
        <v>23</v>
      </c>
      <c r="E18" s="10" t="s">
        <v>24</v>
      </c>
      <c r="F18" s="10"/>
      <c r="G18" s="10">
        <v>1</v>
      </c>
      <c r="H18" s="10">
        <v>75</v>
      </c>
      <c r="I18" s="10"/>
      <c r="J18" s="10">
        <f t="shared" ref="J18:J55" si="3">G18*H18</f>
        <v>75</v>
      </c>
      <c r="K18" s="10"/>
      <c r="L18" s="10" t="s">
        <v>20</v>
      </c>
      <c r="M18" s="13">
        <v>10</v>
      </c>
      <c r="N18" s="10">
        <f t="shared" si="1"/>
        <v>10</v>
      </c>
    </row>
    <row r="19" spans="1:14" x14ac:dyDescent="0.3">
      <c r="A19" s="10">
        <v>11000</v>
      </c>
      <c r="B19" s="10" t="str">
        <f t="shared" si="0"/>
        <v>IT- equipment - switches</v>
      </c>
      <c r="C19" s="10" t="s">
        <v>16</v>
      </c>
      <c r="D19" s="10" t="s">
        <v>23</v>
      </c>
      <c r="E19" s="10" t="s">
        <v>18</v>
      </c>
      <c r="F19" s="10"/>
      <c r="G19" s="10">
        <v>1</v>
      </c>
      <c r="H19" s="10">
        <v>1500</v>
      </c>
      <c r="I19" s="10"/>
      <c r="J19" s="10">
        <f t="shared" si="3"/>
        <v>1500</v>
      </c>
      <c r="K19" s="10"/>
      <c r="L19" s="10" t="s">
        <v>20</v>
      </c>
      <c r="M19" s="13">
        <v>40</v>
      </c>
      <c r="N19" s="10">
        <f t="shared" si="1"/>
        <v>40</v>
      </c>
    </row>
    <row r="20" spans="1:14" x14ac:dyDescent="0.3">
      <c r="A20" s="10">
        <v>12000</v>
      </c>
      <c r="B20" s="10" t="str">
        <f t="shared" si="0"/>
        <v>IT - equipment - periphery (telephony and printers)</v>
      </c>
      <c r="C20" s="10" t="s">
        <v>16</v>
      </c>
      <c r="D20" s="10" t="s">
        <v>38</v>
      </c>
      <c r="E20" s="10" t="s">
        <v>29</v>
      </c>
      <c r="F20" s="10"/>
      <c r="G20" s="10">
        <v>1</v>
      </c>
      <c r="H20" s="10">
        <v>150</v>
      </c>
      <c r="I20" s="10"/>
      <c r="J20" s="10">
        <f t="shared" si="3"/>
        <v>150</v>
      </c>
      <c r="K20" s="10"/>
      <c r="L20" s="10" t="s">
        <v>40</v>
      </c>
      <c r="M20" s="13">
        <v>35</v>
      </c>
      <c r="N20" s="10">
        <f t="shared" si="1"/>
        <v>35</v>
      </c>
    </row>
    <row r="21" spans="1:14" x14ac:dyDescent="0.3">
      <c r="A21" s="10">
        <v>10000</v>
      </c>
      <c r="B21" s="10" t="str">
        <f t="shared" si="0"/>
        <v>IT - equipment - routers</v>
      </c>
      <c r="C21" s="10" t="s">
        <v>16</v>
      </c>
      <c r="D21" s="10" t="s">
        <v>38</v>
      </c>
      <c r="E21" s="10" t="s">
        <v>26</v>
      </c>
      <c r="F21" s="10"/>
      <c r="G21" s="10">
        <v>1</v>
      </c>
      <c r="H21" s="10">
        <v>150</v>
      </c>
      <c r="I21" s="10"/>
      <c r="J21" s="10">
        <f t="shared" si="3"/>
        <v>150</v>
      </c>
      <c r="K21" s="10"/>
      <c r="L21" s="10" t="s">
        <v>63</v>
      </c>
      <c r="M21" s="13">
        <v>35</v>
      </c>
      <c r="N21" s="10">
        <f t="shared" si="1"/>
        <v>35</v>
      </c>
    </row>
    <row r="22" spans="1:14" x14ac:dyDescent="0.3">
      <c r="A22" s="10">
        <v>10000</v>
      </c>
      <c r="B22" s="10" t="str">
        <f t="shared" si="0"/>
        <v>IT - equipment - routers</v>
      </c>
      <c r="C22" s="10" t="s">
        <v>16</v>
      </c>
      <c r="D22" s="10" t="s">
        <v>38</v>
      </c>
      <c r="E22" s="10" t="s">
        <v>61</v>
      </c>
      <c r="F22" s="10"/>
      <c r="G22" s="10">
        <v>1</v>
      </c>
      <c r="H22" s="10">
        <v>150</v>
      </c>
      <c r="I22" s="10"/>
      <c r="J22" s="10">
        <f t="shared" si="3"/>
        <v>150</v>
      </c>
      <c r="K22" s="10"/>
      <c r="L22" s="10" t="s">
        <v>62</v>
      </c>
      <c r="M22" s="13">
        <v>35</v>
      </c>
      <c r="N22" s="10">
        <f t="shared" si="1"/>
        <v>35</v>
      </c>
    </row>
    <row r="23" spans="1:14" x14ac:dyDescent="0.3">
      <c r="A23" s="10">
        <v>11000</v>
      </c>
      <c r="B23" s="10" t="str">
        <f t="shared" si="0"/>
        <v>IT- equipment - switches</v>
      </c>
      <c r="C23" s="10" t="s">
        <v>16</v>
      </c>
      <c r="D23" s="10" t="s">
        <v>31</v>
      </c>
      <c r="E23" s="10" t="s">
        <v>30</v>
      </c>
      <c r="F23" s="10"/>
      <c r="G23" s="10">
        <v>1</v>
      </c>
      <c r="H23" s="10">
        <v>1500</v>
      </c>
      <c r="I23" s="10"/>
      <c r="J23" s="10">
        <f t="shared" si="3"/>
        <v>1500</v>
      </c>
      <c r="K23" s="10"/>
      <c r="L23" s="10" t="s">
        <v>31</v>
      </c>
      <c r="M23" s="13">
        <v>40</v>
      </c>
      <c r="N23" s="10">
        <f t="shared" si="1"/>
        <v>40</v>
      </c>
    </row>
    <row r="24" spans="1:14" x14ac:dyDescent="0.3">
      <c r="A24" s="10">
        <v>13000</v>
      </c>
      <c r="B24" s="10" t="str">
        <f t="shared" si="0"/>
        <v>IT - equipment - end users (computers and laptops)</v>
      </c>
      <c r="C24" s="10" t="s">
        <v>16</v>
      </c>
      <c r="D24" s="10" t="s">
        <v>31</v>
      </c>
      <c r="E24" s="10" t="s">
        <v>27</v>
      </c>
      <c r="F24" s="10"/>
      <c r="G24" s="10">
        <v>8</v>
      </c>
      <c r="H24" s="10">
        <v>1000</v>
      </c>
      <c r="I24" s="10"/>
      <c r="J24" s="10">
        <f t="shared" si="3"/>
        <v>8000</v>
      </c>
      <c r="K24" s="10"/>
      <c r="L24" s="10" t="s">
        <v>31</v>
      </c>
      <c r="M24" s="13">
        <v>150</v>
      </c>
      <c r="N24" s="10">
        <f t="shared" si="1"/>
        <v>1200</v>
      </c>
    </row>
    <row r="25" spans="1:14" x14ac:dyDescent="0.3">
      <c r="A25" s="10">
        <v>12000</v>
      </c>
      <c r="B25" s="10" t="str">
        <f t="shared" si="0"/>
        <v>IT - equipment - periphery (telephony and printers)</v>
      </c>
      <c r="C25" s="10" t="s">
        <v>16</v>
      </c>
      <c r="D25" s="10" t="s">
        <v>31</v>
      </c>
      <c r="E25" s="10" t="s">
        <v>41</v>
      </c>
      <c r="F25" s="10"/>
      <c r="G25" s="10">
        <v>1</v>
      </c>
      <c r="H25" s="10">
        <v>1500</v>
      </c>
      <c r="I25" s="10"/>
      <c r="J25" s="10">
        <f t="shared" si="3"/>
        <v>1500</v>
      </c>
      <c r="K25" s="10"/>
      <c r="L25" s="10" t="s">
        <v>31</v>
      </c>
      <c r="M25" s="13">
        <v>30</v>
      </c>
      <c r="N25" s="10">
        <f t="shared" si="1"/>
        <v>30</v>
      </c>
    </row>
    <row r="26" spans="1:14" x14ac:dyDescent="0.3">
      <c r="A26" s="10">
        <v>12000</v>
      </c>
      <c r="B26" s="10" t="str">
        <f t="shared" si="0"/>
        <v>IT - equipment - periphery (telephony and printers)</v>
      </c>
      <c r="C26" s="10" t="s">
        <v>16</v>
      </c>
      <c r="D26" s="10" t="s">
        <v>31</v>
      </c>
      <c r="E26" s="10" t="s">
        <v>24</v>
      </c>
      <c r="F26" s="10"/>
      <c r="G26" s="10">
        <v>1</v>
      </c>
      <c r="H26" s="10">
        <v>75</v>
      </c>
      <c r="I26" s="10"/>
      <c r="J26" s="10">
        <f t="shared" si="3"/>
        <v>75</v>
      </c>
      <c r="K26" s="10"/>
      <c r="L26" s="10" t="s">
        <v>31</v>
      </c>
      <c r="M26" s="13">
        <v>10</v>
      </c>
      <c r="N26" s="10">
        <f t="shared" si="1"/>
        <v>10</v>
      </c>
    </row>
    <row r="27" spans="1:14" x14ac:dyDescent="0.3">
      <c r="A27" s="10">
        <v>11000</v>
      </c>
      <c r="B27" s="10" t="str">
        <f t="shared" si="0"/>
        <v>IT- equipment - switches</v>
      </c>
      <c r="C27" s="10" t="s">
        <v>16</v>
      </c>
      <c r="D27" s="10" t="s">
        <v>34</v>
      </c>
      <c r="E27" s="10" t="s">
        <v>39</v>
      </c>
      <c r="F27" s="10"/>
      <c r="G27" s="10">
        <v>1</v>
      </c>
      <c r="H27" s="10">
        <v>1500</v>
      </c>
      <c r="I27" s="10"/>
      <c r="J27" s="10">
        <f t="shared" si="3"/>
        <v>1500</v>
      </c>
      <c r="K27" s="10"/>
      <c r="L27" s="10" t="s">
        <v>34</v>
      </c>
      <c r="M27" s="13">
        <v>40</v>
      </c>
      <c r="N27" s="10">
        <f t="shared" si="1"/>
        <v>40</v>
      </c>
    </row>
    <row r="28" spans="1:14" x14ac:dyDescent="0.3">
      <c r="A28" s="10">
        <v>13000</v>
      </c>
      <c r="B28" s="10" t="str">
        <f t="shared" si="0"/>
        <v>IT - equipment - end users (computers and laptops)</v>
      </c>
      <c r="C28" s="10" t="s">
        <v>16</v>
      </c>
      <c r="D28" s="10" t="s">
        <v>34</v>
      </c>
      <c r="E28" s="10" t="s">
        <v>27</v>
      </c>
      <c r="F28" s="10"/>
      <c r="G28" s="10">
        <v>10</v>
      </c>
      <c r="H28" s="10">
        <v>1000</v>
      </c>
      <c r="I28" s="10"/>
      <c r="J28" s="10">
        <f t="shared" si="3"/>
        <v>10000</v>
      </c>
      <c r="K28" s="10"/>
      <c r="L28" s="10" t="s">
        <v>34</v>
      </c>
      <c r="M28" s="13">
        <v>150</v>
      </c>
      <c r="N28" s="10">
        <f t="shared" si="1"/>
        <v>1500</v>
      </c>
    </row>
    <row r="29" spans="1:14" x14ac:dyDescent="0.3">
      <c r="A29" s="10">
        <v>12000</v>
      </c>
      <c r="B29" s="10" t="str">
        <f t="shared" si="0"/>
        <v>IT - equipment - periphery (telephony and printers)</v>
      </c>
      <c r="C29" s="10" t="s">
        <v>16</v>
      </c>
      <c r="D29" s="10" t="s">
        <v>34</v>
      </c>
      <c r="E29" s="10" t="s">
        <v>24</v>
      </c>
      <c r="F29" s="10"/>
      <c r="G29" s="10">
        <v>1</v>
      </c>
      <c r="H29" s="10">
        <v>75</v>
      </c>
      <c r="I29" s="10"/>
      <c r="J29" s="10">
        <f t="shared" si="3"/>
        <v>75</v>
      </c>
      <c r="K29" s="10"/>
      <c r="L29" s="10" t="s">
        <v>34</v>
      </c>
      <c r="M29" s="13">
        <v>10</v>
      </c>
      <c r="N29" s="10">
        <f t="shared" si="1"/>
        <v>10</v>
      </c>
    </row>
    <row r="30" spans="1:14" x14ac:dyDescent="0.3">
      <c r="A30" s="10">
        <v>12000</v>
      </c>
      <c r="B30" s="10" t="str">
        <f t="shared" si="0"/>
        <v>IT - equipment - periphery (telephony and printers)</v>
      </c>
      <c r="C30" s="10" t="s">
        <v>16</v>
      </c>
      <c r="D30" s="10" t="s">
        <v>34</v>
      </c>
      <c r="E30" s="10" t="s">
        <v>41</v>
      </c>
      <c r="F30" s="10"/>
      <c r="G30" s="10">
        <v>1</v>
      </c>
      <c r="H30" s="10">
        <v>1500</v>
      </c>
      <c r="I30" s="10"/>
      <c r="J30" s="10">
        <f t="shared" si="3"/>
        <v>1500</v>
      </c>
      <c r="K30" s="10"/>
      <c r="L30" s="10" t="s">
        <v>34</v>
      </c>
      <c r="M30" s="13">
        <v>30</v>
      </c>
      <c r="N30" s="10">
        <f t="shared" si="1"/>
        <v>30</v>
      </c>
    </row>
    <row r="31" spans="1:14" x14ac:dyDescent="0.3">
      <c r="A31" s="10">
        <v>11000</v>
      </c>
      <c r="B31" s="10" t="str">
        <f t="shared" si="0"/>
        <v>IT- equipment - switches</v>
      </c>
      <c r="C31" s="10" t="s">
        <v>16</v>
      </c>
      <c r="D31" s="10" t="s">
        <v>35</v>
      </c>
      <c r="E31" s="10" t="s">
        <v>42</v>
      </c>
      <c r="F31" s="10"/>
      <c r="G31" s="10">
        <v>1</v>
      </c>
      <c r="H31" s="10">
        <v>1500</v>
      </c>
      <c r="I31" s="10"/>
      <c r="J31" s="10">
        <f>G31*H31</f>
        <v>1500</v>
      </c>
      <c r="K31" s="10"/>
      <c r="L31" s="10" t="s">
        <v>35</v>
      </c>
      <c r="M31" s="13">
        <v>40</v>
      </c>
      <c r="N31" s="10">
        <f t="shared" si="1"/>
        <v>40</v>
      </c>
    </row>
    <row r="32" spans="1:14" x14ac:dyDescent="0.3">
      <c r="A32" s="10">
        <v>13000</v>
      </c>
      <c r="B32" s="10" t="str">
        <f t="shared" si="0"/>
        <v>IT - equipment - end users (computers and laptops)</v>
      </c>
      <c r="C32" s="10" t="s">
        <v>16</v>
      </c>
      <c r="D32" s="10" t="s">
        <v>35</v>
      </c>
      <c r="E32" s="10" t="s">
        <v>27</v>
      </c>
      <c r="F32" s="10"/>
      <c r="G32" s="10">
        <v>10</v>
      </c>
      <c r="H32" s="10">
        <v>1000</v>
      </c>
      <c r="I32" s="10"/>
      <c r="J32" s="10">
        <f t="shared" si="3"/>
        <v>10000</v>
      </c>
      <c r="K32" s="10"/>
      <c r="L32" s="10" t="s">
        <v>35</v>
      </c>
      <c r="M32" s="13">
        <v>150</v>
      </c>
      <c r="N32" s="10">
        <f t="shared" si="1"/>
        <v>1500</v>
      </c>
    </row>
    <row r="33" spans="1:14" x14ac:dyDescent="0.3">
      <c r="A33" s="10">
        <v>12000</v>
      </c>
      <c r="B33" s="10" t="str">
        <f t="shared" si="0"/>
        <v>IT - equipment - periphery (telephony and printers)</v>
      </c>
      <c r="C33" s="10" t="s">
        <v>16</v>
      </c>
      <c r="D33" s="10" t="s">
        <v>35</v>
      </c>
      <c r="E33" s="10" t="s">
        <v>24</v>
      </c>
      <c r="F33" s="10"/>
      <c r="G33" s="10">
        <v>1</v>
      </c>
      <c r="H33" s="10">
        <v>75</v>
      </c>
      <c r="I33" s="10"/>
      <c r="J33" s="10">
        <f t="shared" ref="J33:J34" si="4">G33*H33</f>
        <v>75</v>
      </c>
      <c r="K33" s="10"/>
      <c r="L33" s="10" t="s">
        <v>35</v>
      </c>
      <c r="M33" s="13">
        <v>10</v>
      </c>
      <c r="N33" s="10">
        <f t="shared" si="1"/>
        <v>10</v>
      </c>
    </row>
    <row r="34" spans="1:14" x14ac:dyDescent="0.3">
      <c r="A34" s="10">
        <v>12000</v>
      </c>
      <c r="B34" s="10" t="str">
        <f t="shared" si="0"/>
        <v>IT - equipment - periphery (telephony and printers)</v>
      </c>
      <c r="C34" s="10" t="s">
        <v>16</v>
      </c>
      <c r="D34" s="10" t="s">
        <v>35</v>
      </c>
      <c r="E34" s="10" t="s">
        <v>41</v>
      </c>
      <c r="F34" s="10"/>
      <c r="G34" s="10">
        <v>1</v>
      </c>
      <c r="H34" s="10">
        <v>1500</v>
      </c>
      <c r="I34" s="10"/>
      <c r="J34" s="10">
        <f t="shared" si="4"/>
        <v>1500</v>
      </c>
      <c r="K34" s="10"/>
      <c r="L34" s="10" t="s">
        <v>35</v>
      </c>
      <c r="M34" s="13">
        <v>30</v>
      </c>
      <c r="N34" s="10">
        <f t="shared" si="1"/>
        <v>30</v>
      </c>
    </row>
    <row r="35" spans="1:14" x14ac:dyDescent="0.3">
      <c r="A35" s="10">
        <v>11000</v>
      </c>
      <c r="B35" s="10" t="str">
        <f t="shared" si="0"/>
        <v>IT- equipment - switches</v>
      </c>
      <c r="C35" s="10" t="s">
        <v>16</v>
      </c>
      <c r="D35" s="10" t="s">
        <v>36</v>
      </c>
      <c r="E35" s="10" t="s">
        <v>43</v>
      </c>
      <c r="F35" s="10"/>
      <c r="G35" s="10">
        <v>1</v>
      </c>
      <c r="H35" s="10">
        <v>1500</v>
      </c>
      <c r="I35" s="10"/>
      <c r="J35" s="10">
        <f>G35*H35</f>
        <v>1500</v>
      </c>
      <c r="K35" s="10"/>
      <c r="L35" s="10" t="s">
        <v>36</v>
      </c>
      <c r="M35" s="13">
        <v>40</v>
      </c>
      <c r="N35" s="10">
        <f t="shared" si="1"/>
        <v>40</v>
      </c>
    </row>
    <row r="36" spans="1:14" x14ac:dyDescent="0.3">
      <c r="A36" s="10">
        <v>13000</v>
      </c>
      <c r="B36" s="10" t="str">
        <f t="shared" si="0"/>
        <v>IT - equipment - end users (computers and laptops)</v>
      </c>
      <c r="C36" s="10" t="s">
        <v>16</v>
      </c>
      <c r="D36" s="10" t="s">
        <v>36</v>
      </c>
      <c r="E36" s="10" t="s">
        <v>27</v>
      </c>
      <c r="F36" s="10"/>
      <c r="G36" s="10">
        <v>10</v>
      </c>
      <c r="H36" s="10">
        <v>1000</v>
      </c>
      <c r="I36" s="10"/>
      <c r="J36" s="10">
        <f t="shared" si="3"/>
        <v>10000</v>
      </c>
      <c r="K36" s="10"/>
      <c r="L36" s="10" t="s">
        <v>36</v>
      </c>
      <c r="M36" s="13">
        <v>150</v>
      </c>
      <c r="N36" s="10">
        <f t="shared" si="1"/>
        <v>1500</v>
      </c>
    </row>
    <row r="37" spans="1:14" x14ac:dyDescent="0.3">
      <c r="A37" s="10">
        <v>12000</v>
      </c>
      <c r="B37" s="10" t="str">
        <f t="shared" si="0"/>
        <v>IT - equipment - periphery (telephony and printers)</v>
      </c>
      <c r="C37" s="10" t="s">
        <v>16</v>
      </c>
      <c r="D37" s="10" t="s">
        <v>36</v>
      </c>
      <c r="E37" s="10" t="s">
        <v>24</v>
      </c>
      <c r="F37" s="10"/>
      <c r="G37" s="10">
        <v>1</v>
      </c>
      <c r="H37" s="10">
        <v>75</v>
      </c>
      <c r="I37" s="10"/>
      <c r="J37" s="10">
        <f t="shared" si="3"/>
        <v>75</v>
      </c>
      <c r="K37" s="10"/>
      <c r="L37" s="10" t="s">
        <v>36</v>
      </c>
      <c r="M37" s="13">
        <v>10</v>
      </c>
      <c r="N37" s="10">
        <f t="shared" si="1"/>
        <v>10</v>
      </c>
    </row>
    <row r="38" spans="1:14" x14ac:dyDescent="0.3">
      <c r="A38" s="10">
        <v>12000</v>
      </c>
      <c r="B38" s="10" t="str">
        <f t="shared" si="0"/>
        <v>IT - equipment - periphery (telephony and printers)</v>
      </c>
      <c r="C38" s="10" t="s">
        <v>16</v>
      </c>
      <c r="D38" s="10" t="s">
        <v>36</v>
      </c>
      <c r="E38" s="10" t="s">
        <v>41</v>
      </c>
      <c r="F38" s="10"/>
      <c r="G38" s="10">
        <v>1</v>
      </c>
      <c r="H38" s="10">
        <v>1500</v>
      </c>
      <c r="I38" s="10"/>
      <c r="J38" s="10">
        <f t="shared" si="3"/>
        <v>1500</v>
      </c>
      <c r="K38" s="10"/>
      <c r="L38" s="10" t="s">
        <v>36</v>
      </c>
      <c r="M38" s="13">
        <v>30</v>
      </c>
      <c r="N38" s="10">
        <f t="shared" si="1"/>
        <v>30</v>
      </c>
    </row>
    <row r="39" spans="1:14" x14ac:dyDescent="0.3">
      <c r="A39" s="10">
        <v>11000</v>
      </c>
      <c r="B39" s="10" t="str">
        <f t="shared" si="0"/>
        <v>IT- equipment - switches</v>
      </c>
      <c r="C39" s="10" t="s">
        <v>16</v>
      </c>
      <c r="D39" s="10" t="s">
        <v>37</v>
      </c>
      <c r="E39" s="10" t="s">
        <v>44</v>
      </c>
      <c r="F39" s="10"/>
      <c r="G39" s="10">
        <v>1</v>
      </c>
      <c r="H39" s="10">
        <v>1500</v>
      </c>
      <c r="I39" s="10"/>
      <c r="J39" s="10">
        <f>G39*H39</f>
        <v>1500</v>
      </c>
      <c r="K39" s="10"/>
      <c r="L39" s="10" t="s">
        <v>37</v>
      </c>
      <c r="M39" s="13">
        <v>40</v>
      </c>
      <c r="N39" s="10">
        <f t="shared" si="1"/>
        <v>40</v>
      </c>
    </row>
    <row r="40" spans="1:14" x14ac:dyDescent="0.3">
      <c r="A40" s="10">
        <v>13000</v>
      </c>
      <c r="B40" s="10" t="str">
        <f t="shared" si="0"/>
        <v>IT - equipment - end users (computers and laptops)</v>
      </c>
      <c r="C40" s="10" t="s">
        <v>16</v>
      </c>
      <c r="D40" s="10" t="s">
        <v>37</v>
      </c>
      <c r="E40" s="10" t="s">
        <v>27</v>
      </c>
      <c r="F40" s="10"/>
      <c r="G40" s="10">
        <v>5</v>
      </c>
      <c r="H40" s="10">
        <v>1000</v>
      </c>
      <c r="I40" s="10"/>
      <c r="J40" s="10">
        <f t="shared" si="3"/>
        <v>5000</v>
      </c>
      <c r="K40" s="10"/>
      <c r="L40" s="10" t="s">
        <v>37</v>
      </c>
      <c r="M40" s="13">
        <v>150</v>
      </c>
      <c r="N40" s="10">
        <f t="shared" si="1"/>
        <v>750</v>
      </c>
    </row>
    <row r="41" spans="1:14" x14ac:dyDescent="0.3">
      <c r="A41" s="10">
        <v>12000</v>
      </c>
      <c r="B41" s="10" t="str">
        <f t="shared" si="0"/>
        <v>IT - equipment - periphery (telephony and printers)</v>
      </c>
      <c r="C41" s="10" t="s">
        <v>16</v>
      </c>
      <c r="D41" s="10" t="s">
        <v>37</v>
      </c>
      <c r="E41" s="10" t="s">
        <v>24</v>
      </c>
      <c r="F41" s="10"/>
      <c r="G41" s="10">
        <v>1</v>
      </c>
      <c r="H41" s="10">
        <v>75</v>
      </c>
      <c r="I41" s="10"/>
      <c r="J41" s="10">
        <f t="shared" si="3"/>
        <v>75</v>
      </c>
      <c r="K41" s="10"/>
      <c r="L41" s="10" t="s">
        <v>37</v>
      </c>
      <c r="M41" s="13">
        <v>10</v>
      </c>
      <c r="N41" s="10">
        <f t="shared" si="1"/>
        <v>10</v>
      </c>
    </row>
    <row r="42" spans="1:14" x14ac:dyDescent="0.3">
      <c r="A42" s="10">
        <v>12000</v>
      </c>
      <c r="B42" s="10" t="str">
        <f t="shared" si="0"/>
        <v>IT - equipment - periphery (telephony and printers)</v>
      </c>
      <c r="C42" s="10" t="s">
        <v>16</v>
      </c>
      <c r="D42" s="10" t="s">
        <v>37</v>
      </c>
      <c r="E42" s="10" t="s">
        <v>41</v>
      </c>
      <c r="F42" s="10"/>
      <c r="G42" s="10">
        <v>1</v>
      </c>
      <c r="H42" s="10">
        <v>1500</v>
      </c>
      <c r="I42" s="10"/>
      <c r="J42" s="10">
        <f t="shared" si="3"/>
        <v>1500</v>
      </c>
      <c r="K42" s="10"/>
      <c r="L42" s="10" t="s">
        <v>37</v>
      </c>
      <c r="M42" s="13">
        <v>30</v>
      </c>
      <c r="N42" s="10">
        <f t="shared" si="1"/>
        <v>30</v>
      </c>
    </row>
    <row r="43" spans="1:14" x14ac:dyDescent="0.3">
      <c r="A43" s="10">
        <v>10000</v>
      </c>
      <c r="B43" s="10" t="str">
        <f t="shared" si="0"/>
        <v>IT - equipment - routers</v>
      </c>
      <c r="C43" s="10" t="s">
        <v>16</v>
      </c>
      <c r="D43" s="10" t="s">
        <v>38</v>
      </c>
      <c r="E43" s="10" t="s">
        <v>56</v>
      </c>
      <c r="F43" s="10"/>
      <c r="G43" s="10">
        <v>1</v>
      </c>
      <c r="H43" s="10">
        <v>100</v>
      </c>
      <c r="I43" s="10"/>
      <c r="J43" s="10">
        <f t="shared" si="3"/>
        <v>100</v>
      </c>
      <c r="K43" s="10"/>
      <c r="L43" s="10" t="s">
        <v>57</v>
      </c>
      <c r="M43" s="13">
        <v>50</v>
      </c>
      <c r="N43" s="10">
        <f t="shared" si="1"/>
        <v>50</v>
      </c>
    </row>
    <row r="44" spans="1:14" x14ac:dyDescent="0.3">
      <c r="A44" s="10">
        <v>11000</v>
      </c>
      <c r="B44" s="10" t="str">
        <f t="shared" si="0"/>
        <v>IT- equipment - switches</v>
      </c>
      <c r="C44" s="10" t="s">
        <v>16</v>
      </c>
      <c r="D44" s="10" t="s">
        <v>38</v>
      </c>
      <c r="E44" s="10" t="s">
        <v>45</v>
      </c>
      <c r="F44" s="10"/>
      <c r="G44" s="10">
        <v>2</v>
      </c>
      <c r="H44" s="10">
        <v>1500</v>
      </c>
      <c r="I44" s="10"/>
      <c r="J44" s="10">
        <f>G44*H44</f>
        <v>3000</v>
      </c>
      <c r="K44" s="10"/>
      <c r="L44" s="10" t="s">
        <v>46</v>
      </c>
      <c r="M44" s="13">
        <v>40</v>
      </c>
      <c r="N44" s="10">
        <f t="shared" si="1"/>
        <v>80</v>
      </c>
    </row>
    <row r="45" spans="1:14" x14ac:dyDescent="0.3">
      <c r="A45" s="10">
        <v>15000</v>
      </c>
      <c r="B45" s="10" t="str">
        <f t="shared" si="0"/>
        <v>IT - equipment - servers</v>
      </c>
      <c r="C45" s="10" t="s">
        <v>16</v>
      </c>
      <c r="D45" s="10" t="s">
        <v>38</v>
      </c>
      <c r="E45" s="10" t="s">
        <v>47</v>
      </c>
      <c r="F45" s="10"/>
      <c r="G45" s="10">
        <v>1</v>
      </c>
      <c r="H45" s="10">
        <v>2000</v>
      </c>
      <c r="I45" s="10"/>
      <c r="J45" s="10">
        <f t="shared" si="3"/>
        <v>2000</v>
      </c>
      <c r="K45" s="10"/>
      <c r="L45" s="10" t="s">
        <v>46</v>
      </c>
      <c r="M45" s="13">
        <v>200</v>
      </c>
      <c r="N45" s="10">
        <f t="shared" si="1"/>
        <v>200</v>
      </c>
    </row>
    <row r="46" spans="1:14" x14ac:dyDescent="0.3">
      <c r="A46" s="10">
        <v>15000</v>
      </c>
      <c r="B46" s="10" t="str">
        <f t="shared" si="0"/>
        <v>IT - equipment - servers</v>
      </c>
      <c r="C46" s="10" t="s">
        <v>16</v>
      </c>
      <c r="D46" s="10" t="s">
        <v>38</v>
      </c>
      <c r="E46" s="10" t="s">
        <v>48</v>
      </c>
      <c r="F46" s="10"/>
      <c r="G46" s="10">
        <v>1</v>
      </c>
      <c r="H46" s="10">
        <v>2000</v>
      </c>
      <c r="I46" s="10"/>
      <c r="J46" s="10">
        <f t="shared" si="3"/>
        <v>2000</v>
      </c>
      <c r="K46" s="10"/>
      <c r="L46" s="10" t="s">
        <v>46</v>
      </c>
      <c r="M46" s="13">
        <v>200</v>
      </c>
      <c r="N46" s="10">
        <f t="shared" si="1"/>
        <v>200</v>
      </c>
    </row>
    <row r="47" spans="1:14" x14ac:dyDescent="0.3">
      <c r="A47" s="10">
        <v>14000</v>
      </c>
      <c r="B47" s="10" t="str">
        <f t="shared" si="0"/>
        <v xml:space="preserve">IT - equipment - cables </v>
      </c>
      <c r="C47" s="10" t="s">
        <v>16</v>
      </c>
      <c r="D47" s="10" t="s">
        <v>38</v>
      </c>
      <c r="E47" s="10" t="s">
        <v>52</v>
      </c>
      <c r="F47" s="10"/>
      <c r="G47" s="10">
        <v>2</v>
      </c>
      <c r="H47" s="10">
        <f>10*10*G47</f>
        <v>200</v>
      </c>
      <c r="I47" s="10"/>
      <c r="J47" s="10">
        <f t="shared" si="3"/>
        <v>400</v>
      </c>
      <c r="K47" s="10"/>
      <c r="L47" s="10" t="s">
        <v>53</v>
      </c>
      <c r="M47" s="13">
        <v>0</v>
      </c>
      <c r="N47" s="10">
        <f t="shared" si="1"/>
        <v>0</v>
      </c>
    </row>
    <row r="48" spans="1:14" x14ac:dyDescent="0.3">
      <c r="A48" s="10">
        <v>14000</v>
      </c>
      <c r="B48" s="10" t="str">
        <f t="shared" si="0"/>
        <v xml:space="preserve">IT - equipment - cables </v>
      </c>
      <c r="C48" s="10" t="s">
        <v>16</v>
      </c>
      <c r="D48" s="10" t="s">
        <v>38</v>
      </c>
      <c r="E48" s="10" t="s">
        <v>51</v>
      </c>
      <c r="F48" s="10"/>
      <c r="G48" s="10">
        <v>70</v>
      </c>
      <c r="H48" s="10">
        <f>2*2*G48</f>
        <v>280</v>
      </c>
      <c r="I48" s="10"/>
      <c r="J48" s="10">
        <f t="shared" si="3"/>
        <v>19600</v>
      </c>
      <c r="K48" s="10"/>
      <c r="L48" s="10" t="s">
        <v>60</v>
      </c>
      <c r="M48" s="13">
        <v>0</v>
      </c>
      <c r="N48" s="10">
        <f t="shared" si="1"/>
        <v>0</v>
      </c>
    </row>
    <row r="49" spans="1:14" x14ac:dyDescent="0.3">
      <c r="A49" s="10">
        <v>10000</v>
      </c>
      <c r="B49" s="10" t="str">
        <f t="shared" si="0"/>
        <v>IT - equipment - routers</v>
      </c>
      <c r="C49" s="10" t="s">
        <v>16</v>
      </c>
      <c r="D49" s="10" t="s">
        <v>38</v>
      </c>
      <c r="E49" s="10" t="s">
        <v>64</v>
      </c>
      <c r="F49" s="10"/>
      <c r="G49" s="10">
        <v>1</v>
      </c>
      <c r="H49" s="10">
        <v>1000</v>
      </c>
      <c r="I49" s="10"/>
      <c r="J49" s="10">
        <f t="shared" si="3"/>
        <v>1000</v>
      </c>
      <c r="K49" s="10"/>
      <c r="L49" s="10" t="s">
        <v>65</v>
      </c>
      <c r="M49" s="13">
        <v>40</v>
      </c>
      <c r="N49" s="10">
        <f t="shared" si="1"/>
        <v>40</v>
      </c>
    </row>
    <row r="50" spans="1:14" x14ac:dyDescent="0.3">
      <c r="A50" s="10">
        <v>15001</v>
      </c>
      <c r="B50" s="10" t="str">
        <f t="shared" si="0"/>
        <v xml:space="preserve">Other </v>
      </c>
      <c r="C50" s="10" t="s">
        <v>16</v>
      </c>
      <c r="D50" s="10" t="s">
        <v>37</v>
      </c>
      <c r="E50" s="10" t="s">
        <v>54</v>
      </c>
      <c r="F50" s="10"/>
      <c r="G50" s="10">
        <v>4</v>
      </c>
      <c r="H50" s="10">
        <v>1000</v>
      </c>
      <c r="I50" s="10"/>
      <c r="J50" s="10">
        <f t="shared" si="3"/>
        <v>4000</v>
      </c>
      <c r="K50" s="10"/>
      <c r="L50" s="10" t="s">
        <v>55</v>
      </c>
      <c r="M50" s="13">
        <v>0</v>
      </c>
      <c r="N50" s="10">
        <f t="shared" si="1"/>
        <v>0</v>
      </c>
    </row>
    <row r="51" spans="1:14" x14ac:dyDescent="0.3">
      <c r="A51" s="10">
        <v>15000</v>
      </c>
      <c r="B51" s="10" t="str">
        <f t="shared" si="0"/>
        <v>IT - equipment - servers</v>
      </c>
      <c r="C51" s="10" t="s">
        <v>16</v>
      </c>
      <c r="D51" s="10" t="s">
        <v>38</v>
      </c>
      <c r="E51" s="10" t="s">
        <v>67</v>
      </c>
      <c r="F51" s="10"/>
      <c r="G51" s="10">
        <v>1</v>
      </c>
      <c r="H51" s="10">
        <v>2000</v>
      </c>
      <c r="I51" s="10"/>
      <c r="J51" s="10">
        <f t="shared" si="3"/>
        <v>2000</v>
      </c>
      <c r="K51" s="10"/>
      <c r="L51" s="10" t="s">
        <v>46</v>
      </c>
      <c r="M51" s="13">
        <v>200</v>
      </c>
      <c r="N51" s="10">
        <f t="shared" si="1"/>
        <v>200</v>
      </c>
    </row>
    <row r="52" spans="1:14" x14ac:dyDescent="0.3">
      <c r="A52" s="10">
        <v>10000</v>
      </c>
      <c r="B52" s="10" t="str">
        <f t="shared" si="0"/>
        <v>IT - equipment - routers</v>
      </c>
      <c r="C52" s="10" t="s">
        <v>16</v>
      </c>
      <c r="D52" s="10" t="s">
        <v>38</v>
      </c>
      <c r="E52" s="10" t="s">
        <v>68</v>
      </c>
      <c r="F52" s="10"/>
      <c r="G52" s="10">
        <v>1</v>
      </c>
      <c r="H52" s="10">
        <v>1180</v>
      </c>
      <c r="I52" s="10"/>
      <c r="J52" s="10">
        <f t="shared" si="3"/>
        <v>1180</v>
      </c>
      <c r="K52" s="10"/>
      <c r="L52" s="10" t="s">
        <v>69</v>
      </c>
      <c r="M52" s="13">
        <v>48</v>
      </c>
      <c r="N52" s="10">
        <f t="shared" si="1"/>
        <v>48</v>
      </c>
    </row>
    <row r="53" spans="1:14" x14ac:dyDescent="0.3">
      <c r="A53" s="10">
        <v>15000</v>
      </c>
      <c r="B53" s="10" t="str">
        <f t="shared" si="0"/>
        <v>IT - equipment - servers</v>
      </c>
      <c r="C53" s="10" t="s">
        <v>16</v>
      </c>
      <c r="D53" s="10" t="s">
        <v>38</v>
      </c>
      <c r="E53" s="10" t="s">
        <v>70</v>
      </c>
      <c r="F53" s="10"/>
      <c r="G53" s="10">
        <v>1</v>
      </c>
      <c r="H53" s="10">
        <v>2000</v>
      </c>
      <c r="I53" s="10"/>
      <c r="J53" s="10">
        <f t="shared" si="3"/>
        <v>2000</v>
      </c>
      <c r="K53" s="10"/>
      <c r="L53" s="10" t="s">
        <v>72</v>
      </c>
      <c r="M53" s="13">
        <v>200</v>
      </c>
      <c r="N53" s="10">
        <f t="shared" si="1"/>
        <v>200</v>
      </c>
    </row>
    <row r="54" spans="1:14" x14ac:dyDescent="0.3">
      <c r="A54" s="10">
        <v>15000</v>
      </c>
      <c r="B54" s="10" t="str">
        <f t="shared" si="0"/>
        <v>IT - equipment - servers</v>
      </c>
      <c r="C54" s="10" t="s">
        <v>16</v>
      </c>
      <c r="D54" s="10" t="s">
        <v>38</v>
      </c>
      <c r="E54" s="10" t="s">
        <v>71</v>
      </c>
      <c r="F54" s="10"/>
      <c r="G54" s="10">
        <v>1</v>
      </c>
      <c r="H54" s="10">
        <v>2000</v>
      </c>
      <c r="I54" s="10"/>
      <c r="J54" s="10">
        <f t="shared" si="3"/>
        <v>2000</v>
      </c>
      <c r="K54" s="10"/>
      <c r="L54" s="10" t="s">
        <v>72</v>
      </c>
      <c r="M54" s="13">
        <v>200</v>
      </c>
      <c r="N54" s="10">
        <f t="shared" si="1"/>
        <v>200</v>
      </c>
    </row>
    <row r="55" spans="1:14" x14ac:dyDescent="0.3">
      <c r="A55" s="10">
        <v>15001</v>
      </c>
      <c r="B55" s="10" t="str">
        <f>LOOKUP(A55,$B$4:$B$10,$C$4:$C$10)</f>
        <v xml:space="preserve">Other </v>
      </c>
      <c r="C55" s="10" t="s">
        <v>16</v>
      </c>
      <c r="D55" s="10" t="s">
        <v>38</v>
      </c>
      <c r="E55" s="10" t="s">
        <v>49</v>
      </c>
      <c r="F55" s="10"/>
      <c r="G55" s="10">
        <v>1</v>
      </c>
      <c r="H55" s="10"/>
      <c r="I55" s="10"/>
      <c r="J55" s="10">
        <f t="shared" si="3"/>
        <v>0</v>
      </c>
      <c r="K55" s="10"/>
      <c r="L55" s="10" t="s">
        <v>66</v>
      </c>
      <c r="M55" s="13">
        <v>500</v>
      </c>
      <c r="N55" s="10">
        <f t="shared" si="1"/>
        <v>500</v>
      </c>
    </row>
    <row r="57" spans="1:14" x14ac:dyDescent="0.3">
      <c r="M57">
        <f>SUM(M16:M56)</f>
        <v>3163</v>
      </c>
      <c r="N57">
        <f>SUM(N16:N56)</f>
        <v>9503</v>
      </c>
    </row>
    <row r="63" spans="1:14" x14ac:dyDescent="0.3">
      <c r="G63" s="18"/>
    </row>
    <row r="64" spans="1:14" x14ac:dyDescent="0.3">
      <c r="G64" s="19"/>
    </row>
    <row r="65" spans="7:15" x14ac:dyDescent="0.3">
      <c r="G65" s="20"/>
      <c r="N65" s="44"/>
      <c r="O65" s="44"/>
    </row>
    <row r="66" spans="7:15" x14ac:dyDescent="0.3">
      <c r="G66" s="20"/>
      <c r="N66" s="44"/>
      <c r="O66" s="44"/>
    </row>
    <row r="67" spans="7:15" x14ac:dyDescent="0.3">
      <c r="G67" s="20"/>
      <c r="N67" s="44"/>
      <c r="O67" s="44"/>
    </row>
    <row r="68" spans="7:15" x14ac:dyDescent="0.3">
      <c r="G68" s="20"/>
      <c r="N68" s="44"/>
      <c r="O68" s="44"/>
    </row>
    <row r="69" spans="7:15" x14ac:dyDescent="0.3">
      <c r="G69" s="20"/>
      <c r="N69" s="44"/>
      <c r="O69" s="44"/>
    </row>
    <row r="70" spans="7:15" x14ac:dyDescent="0.3">
      <c r="G70" s="20"/>
      <c r="N70" s="44"/>
      <c r="O70" s="44"/>
    </row>
    <row r="71" spans="7:15" x14ac:dyDescent="0.3">
      <c r="G71" s="20"/>
      <c r="N71" s="44"/>
      <c r="O71" s="44"/>
    </row>
    <row r="72" spans="7:15" x14ac:dyDescent="0.3">
      <c r="G72" s="21"/>
    </row>
  </sheetData>
  <autoFilter ref="A15:O53" xr:uid="{032A4627-C2A2-4924-A3A7-17B2D83EA8DD}"/>
  <mergeCells count="37">
    <mergeCell ref="N71:O71"/>
    <mergeCell ref="N70:O70"/>
    <mergeCell ref="N69:O69"/>
    <mergeCell ref="N68:O68"/>
    <mergeCell ref="H2:J2"/>
    <mergeCell ref="N67:O67"/>
    <mergeCell ref="N66:O66"/>
    <mergeCell ref="N65:O65"/>
    <mergeCell ref="H10:J10"/>
    <mergeCell ref="H9:J9"/>
    <mergeCell ref="H8:J8"/>
    <mergeCell ref="H7:J7"/>
    <mergeCell ref="H6:J6"/>
    <mergeCell ref="H5:J5"/>
    <mergeCell ref="H4:J4"/>
    <mergeCell ref="K9:M9"/>
    <mergeCell ref="K2:M2"/>
    <mergeCell ref="K5:M5"/>
    <mergeCell ref="K6:M6"/>
    <mergeCell ref="D9:F9"/>
    <mergeCell ref="D5:F5"/>
    <mergeCell ref="D6:F6"/>
    <mergeCell ref="D7:F7"/>
    <mergeCell ref="D2:F2"/>
    <mergeCell ref="D3:F3"/>
    <mergeCell ref="K3:M3"/>
    <mergeCell ref="D4:F4"/>
    <mergeCell ref="K4:M4"/>
    <mergeCell ref="D8:F8"/>
    <mergeCell ref="K8:M8"/>
    <mergeCell ref="K7:M7"/>
    <mergeCell ref="H3:J3"/>
    <mergeCell ref="D10:F10"/>
    <mergeCell ref="K10:M10"/>
    <mergeCell ref="K11:M11"/>
    <mergeCell ref="B11:C11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Caldwell</dc:creator>
  <cp:lastModifiedBy>Lily Caldwell</cp:lastModifiedBy>
  <dcterms:created xsi:type="dcterms:W3CDTF">2026-02-19T10:10:02Z</dcterms:created>
  <dcterms:modified xsi:type="dcterms:W3CDTF">2026-02-26T14:00:50Z</dcterms:modified>
</cp:coreProperties>
</file>