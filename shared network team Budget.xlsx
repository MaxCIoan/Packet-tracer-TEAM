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lya\Desktop\Project 1\"/>
    </mc:Choice>
  </mc:AlternateContent>
  <xr:revisionPtr revIDLastSave="0" documentId="13_ncr:1_{6D4C46C7-410F-40FA-B1F7-508D70AE487E}" xr6:coauthVersionLast="47" xr6:coauthVersionMax="47" xr10:uidLastSave="{00000000-0000-0000-0000-000000000000}"/>
  <bookViews>
    <workbookView xWindow="-96" yWindow="-96" windowWidth="30912" windowHeight="16752" xr2:uid="{58261409-75FE-4CCD-BF1A-46427F60D179}"/>
  </bookViews>
  <sheets>
    <sheet name="Budget shee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3" i="1" l="1"/>
  <c r="K47" i="1"/>
  <c r="K46" i="1"/>
  <c r="K52" i="1"/>
  <c r="K51" i="1"/>
  <c r="K50" i="1"/>
  <c r="K49" i="1"/>
  <c r="K48" i="1"/>
  <c r="N35" i="1"/>
  <c r="N33" i="1"/>
  <c r="N29" i="1"/>
  <c r="J29" i="1"/>
  <c r="B29" i="1"/>
  <c r="J35" i="1"/>
  <c r="B35" i="1"/>
  <c r="H33" i="1"/>
  <c r="J33" i="1" s="1"/>
  <c r="G34" i="1"/>
  <c r="N34" i="1" s="1"/>
  <c r="B33" i="1"/>
  <c r="B34" i="1"/>
  <c r="N36" i="1"/>
  <c r="N32" i="1"/>
  <c r="N31" i="1"/>
  <c r="N30" i="1"/>
  <c r="J30" i="1"/>
  <c r="B30" i="1"/>
  <c r="N25" i="1"/>
  <c r="J25" i="1"/>
  <c r="B25" i="1"/>
  <c r="B21" i="1"/>
  <c r="J21" i="1"/>
  <c r="N21" i="1"/>
  <c r="N17" i="1"/>
  <c r="J17" i="1"/>
  <c r="B17" i="1"/>
  <c r="N28" i="1"/>
  <c r="N27" i="1"/>
  <c r="N26" i="1"/>
  <c r="N24" i="1"/>
  <c r="N23" i="1"/>
  <c r="N22" i="1"/>
  <c r="N20" i="1"/>
  <c r="N19" i="1"/>
  <c r="J20" i="1"/>
  <c r="J19" i="1"/>
  <c r="N18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J4" i="1"/>
  <c r="N3" i="1"/>
  <c r="M38" i="1"/>
  <c r="J5" i="1"/>
  <c r="J6" i="1"/>
  <c r="J7" i="1"/>
  <c r="J8" i="1"/>
  <c r="J9" i="1"/>
  <c r="J10" i="1"/>
  <c r="J11" i="1"/>
  <c r="J12" i="1"/>
  <c r="J13" i="1"/>
  <c r="J14" i="1"/>
  <c r="J15" i="1"/>
  <c r="J16" i="1"/>
  <c r="J18" i="1"/>
  <c r="J22" i="1"/>
  <c r="J23" i="1"/>
  <c r="J24" i="1"/>
  <c r="J26" i="1"/>
  <c r="J27" i="1"/>
  <c r="J28" i="1"/>
  <c r="J31" i="1"/>
  <c r="D51" i="1" s="1"/>
  <c r="J32" i="1"/>
  <c r="J36" i="1"/>
  <c r="J3" i="1"/>
  <c r="B31" i="1"/>
  <c r="B28" i="1"/>
  <c r="B27" i="1"/>
  <c r="B26" i="1"/>
  <c r="B24" i="1"/>
  <c r="B23" i="1"/>
  <c r="B6" i="1"/>
  <c r="B36" i="1"/>
  <c r="B32" i="1"/>
  <c r="B22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5" i="1"/>
  <c r="B4" i="1"/>
  <c r="B3" i="1"/>
  <c r="H34" i="1" l="1"/>
  <c r="J34" i="1" s="1"/>
  <c r="D50" i="1" s="1"/>
  <c r="D52" i="1"/>
  <c r="D48" i="1"/>
  <c r="D46" i="1"/>
  <c r="D49" i="1"/>
  <c r="D47" i="1"/>
  <c r="N38" i="1"/>
  <c r="D53" i="1" l="1"/>
  <c r="D45" i="1"/>
  <c r="K45" i="1"/>
  <c r="K53" i="1" s="1"/>
</calcChain>
</file>

<file path=xl/sharedStrings.xml><?xml version="1.0" encoding="utf-8"?>
<sst xmlns="http://schemas.openxmlformats.org/spreadsheetml/2006/main" count="170" uniqueCount="63">
  <si>
    <t>Accounting code</t>
  </si>
  <si>
    <t>Accounting code description</t>
  </si>
  <si>
    <t xml:space="preserve">TOTAL </t>
  </si>
  <si>
    <t>Acc. code</t>
  </si>
  <si>
    <t>Acc. Code description</t>
  </si>
  <si>
    <t>Cost Center</t>
  </si>
  <si>
    <t>Qty</t>
  </si>
  <si>
    <t>Unit Price</t>
  </si>
  <si>
    <t>Currency</t>
  </si>
  <si>
    <t>Total (EUR)</t>
  </si>
  <si>
    <t>Comment</t>
  </si>
  <si>
    <t>IT - equipment - routers</t>
  </si>
  <si>
    <t>IT- equipment - switches</t>
  </si>
  <si>
    <t>IT - equipment - periphery (telephony and printers)</t>
  </si>
  <si>
    <t>IT - equipment - end users (computers and laptops)</t>
  </si>
  <si>
    <t>IT - equipment - servers</t>
  </si>
  <si>
    <t>network1</t>
  </si>
  <si>
    <t>Description Name</t>
  </si>
  <si>
    <t>SW-1</t>
  </si>
  <si>
    <t>IT equipment</t>
  </si>
  <si>
    <t>Management</t>
  </si>
  <si>
    <t>Watts</t>
  </si>
  <si>
    <t>Zone</t>
  </si>
  <si>
    <t>Mgmt</t>
  </si>
  <si>
    <t>IP Phone</t>
  </si>
  <si>
    <t>printer0</t>
  </si>
  <si>
    <t>LAN</t>
  </si>
  <si>
    <t>router1</t>
  </si>
  <si>
    <t>PC workstations</t>
  </si>
  <si>
    <t>Total Watts</t>
  </si>
  <si>
    <t>Router-firewall</t>
  </si>
  <si>
    <t>SW-2</t>
  </si>
  <si>
    <t>Study</t>
  </si>
  <si>
    <t>By Accounting Code</t>
  </si>
  <si>
    <t>By Cost Center</t>
  </si>
  <si>
    <t>Production</t>
  </si>
  <si>
    <t>Support 1</t>
  </si>
  <si>
    <t>Support 2</t>
  </si>
  <si>
    <t>IT department</t>
  </si>
  <si>
    <t>Connectivity/DMZ</t>
  </si>
  <si>
    <t>SW-3</t>
  </si>
  <si>
    <t xml:space="preserve">WAN + Firewall </t>
  </si>
  <si>
    <t>Printer</t>
  </si>
  <si>
    <t>SW-4</t>
  </si>
  <si>
    <t>SW-5</t>
  </si>
  <si>
    <t>SW-6</t>
  </si>
  <si>
    <t>SW-7</t>
  </si>
  <si>
    <t>DMZ</t>
  </si>
  <si>
    <t>DHCP Server</t>
  </si>
  <si>
    <t>DNS Server</t>
  </si>
  <si>
    <t>CLOUD-ISP</t>
  </si>
  <si>
    <t>ISP</t>
  </si>
  <si>
    <t xml:space="preserve">Other </t>
  </si>
  <si>
    <t>Ethernet cables</t>
  </si>
  <si>
    <t>Optic Cables</t>
  </si>
  <si>
    <t>Cost 10euros per m, avg 10m per connection - Fiber optic (envelope)</t>
  </si>
  <si>
    <t>Rack</t>
  </si>
  <si>
    <t>Standard rack for switches, routers, etc</t>
  </si>
  <si>
    <t>WLAN</t>
  </si>
  <si>
    <t>Wireless router</t>
  </si>
  <si>
    <t xml:space="preserve">IT - equipment - cables </t>
  </si>
  <si>
    <t>Work Zone Name</t>
  </si>
  <si>
    <t>cost 2euros per m, avg 2 m per connection, cat7- Ethernet cables (envelope)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</si>
</sst>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F_-;\-* #,##0.00\ _F_-;_-* &quot;-&quot;??\ _F_-;_-@_-"/>
    <numFmt numFmtId="165" formatCode="#,##0_ ;\-#,##0\ 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name val="Calibri"/>
      <family val="2"/>
    </font>
    <font>
      <sz val="10"/>
      <name val="Calibri"/>
      <family val="2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C99"/>
        <bgColor indexed="24"/>
      </patternFill>
    </fill>
    <fill>
      <patternFill patternType="solid">
        <fgColor theme="0"/>
        <bgColor indexed="24"/>
      </patternFill>
    </fill>
    <fill>
      <patternFill patternType="solid">
        <fgColor rgb="FFFF9966"/>
        <bgColor indexed="2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</cellStyleXfs>
  <cellXfs count="45">
    <xf numFmtId="0" fontId="0" fillId="0" borderId="0" xfId="0"/>
    <xf numFmtId="0" fontId="4" fillId="3" borderId="6" xfId="1" applyFont="1" applyFill="1" applyBorder="1" applyAlignment="1">
      <alignment horizontal="center"/>
    </xf>
    <xf numFmtId="0" fontId="4" fillId="3" borderId="7" xfId="1" applyFont="1" applyFill="1" applyBorder="1" applyAlignment="1">
      <alignment horizontal="left"/>
    </xf>
    <xf numFmtId="0" fontId="3" fillId="2" borderId="8" xfId="1" applyFont="1" applyFill="1" applyBorder="1" applyAlignment="1">
      <alignment horizontal="left"/>
    </xf>
    <xf numFmtId="0" fontId="3" fillId="2" borderId="7" xfId="1" applyFont="1" applyFill="1" applyBorder="1"/>
    <xf numFmtId="165" fontId="3" fillId="4" borderId="1" xfId="3" applyNumberFormat="1" applyFont="1" applyFill="1" applyBorder="1" applyAlignment="1" applyProtection="1">
      <alignment horizontal="center" vertical="center"/>
    </xf>
    <xf numFmtId="165" fontId="3" fillId="4" borderId="2" xfId="3" applyNumberFormat="1" applyFont="1" applyFill="1" applyBorder="1" applyAlignment="1" applyProtection="1">
      <alignment horizontal="center" vertical="center"/>
    </xf>
    <xf numFmtId="0" fontId="5" fillId="0" borderId="0" xfId="0" applyFont="1"/>
    <xf numFmtId="0" fontId="5" fillId="0" borderId="11" xfId="0" applyFont="1" applyBorder="1"/>
    <xf numFmtId="0" fontId="5" fillId="0" borderId="12" xfId="0" applyFont="1" applyBorder="1"/>
    <xf numFmtId="0" fontId="0" fillId="0" borderId="10" xfId="0" applyBorder="1"/>
    <xf numFmtId="0" fontId="5" fillId="0" borderId="12" xfId="0" applyFont="1" applyBorder="1" applyAlignment="1">
      <alignment wrapText="1"/>
    </xf>
    <xf numFmtId="165" fontId="4" fillId="3" borderId="8" xfId="3" applyNumberFormat="1" applyFont="1" applyFill="1" applyBorder="1" applyAlignment="1" applyProtection="1">
      <alignment horizontal="center"/>
    </xf>
    <xf numFmtId="165" fontId="4" fillId="3" borderId="9" xfId="3" applyNumberFormat="1" applyFont="1" applyFill="1" applyBorder="1" applyAlignment="1" applyProtection="1">
      <alignment horizontal="center"/>
    </xf>
    <xf numFmtId="165" fontId="3" fillId="4" borderId="1" xfId="3" applyNumberFormat="1" applyFont="1" applyFill="1" applyBorder="1" applyAlignment="1" applyProtection="1">
      <alignment horizontal="center" vertical="center"/>
    </xf>
    <xf numFmtId="165" fontId="3" fillId="4" borderId="2" xfId="3" applyNumberFormat="1" applyFont="1" applyFill="1" applyBorder="1" applyAlignment="1" applyProtection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165" fontId="3" fillId="2" borderId="4" xfId="3" applyNumberFormat="1" applyFont="1" applyFill="1" applyBorder="1" applyAlignment="1" applyProtection="1">
      <alignment horizontal="center"/>
    </xf>
    <xf numFmtId="165" fontId="3" fillId="2" borderId="5" xfId="3" applyNumberFormat="1" applyFont="1" applyFill="1" applyBorder="1" applyAlignment="1" applyProtection="1">
      <alignment horizontal="center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3" fontId="3" fillId="2" borderId="2" xfId="1" applyNumberFormat="1" applyFont="1" applyFill="1" applyBorder="1" applyAlignment="1">
      <alignment horizontal="center" vertical="center" wrapText="1"/>
    </xf>
    <xf numFmtId="3" fontId="3" fillId="2" borderId="3" xfId="1" applyNumberFormat="1" applyFont="1" applyFill="1" applyBorder="1" applyAlignment="1">
      <alignment horizontal="center" vertical="center" wrapText="1"/>
    </xf>
    <xf numFmtId="165" fontId="3" fillId="2" borderId="1" xfId="1" applyNumberFormat="1" applyFont="1" applyFill="1" applyBorder="1" applyAlignment="1">
      <alignment horizontal="center" vertical="center" wrapText="1"/>
    </xf>
    <xf numFmtId="0" fontId="5" fillId="0" borderId="13" xfId="0" applyFont="1" applyBorder="1"/>
    <xf numFmtId="0" fontId="0" fillId="0" borderId="14" xfId="0" applyBorder="1"/>
    <xf numFmtId="0" fontId="5" fillId="0" borderId="10" xfId="0" applyFont="1" applyBorder="1"/>
    <xf numFmtId="165" fontId="3" fillId="2" borderId="16" xfId="3" applyNumberFormat="1" applyFont="1" applyFill="1" applyBorder="1" applyAlignment="1" applyProtection="1">
      <alignment horizontal="center"/>
    </xf>
    <xf numFmtId="165" fontId="4" fillId="3" borderId="7" xfId="3" applyNumberFormat="1" applyFont="1" applyFill="1" applyBorder="1" applyAlignment="1" applyProtection="1">
      <alignment horizontal="center"/>
    </xf>
    <xf numFmtId="165" fontId="3" fillId="4" borderId="3" xfId="3" applyNumberFormat="1" applyFont="1" applyFill="1" applyBorder="1" applyAlignment="1" applyProtection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15" xfId="1" applyFont="1" applyFill="1" applyBorder="1" applyAlignment="1">
      <alignment horizontal="center" vertical="center" wrapText="1"/>
    </xf>
    <xf numFmtId="3" fontId="3" fillId="2" borderId="1" xfId="1" applyNumberFormat="1" applyFont="1" applyFill="1" applyBorder="1" applyAlignment="1">
      <alignment horizontal="center" vertical="center" wrapText="1"/>
    </xf>
    <xf numFmtId="0" fontId="3" fillId="0" borderId="0" xfId="1" applyFont="1" applyFill="1" applyBorder="1" applyAlignment="1">
      <alignment horizontal="center" vertical="center" wrapText="1"/>
    </xf>
    <xf numFmtId="165" fontId="3" fillId="0" borderId="0" xfId="3" applyNumberFormat="1" applyFont="1" applyFill="1" applyBorder="1" applyAlignment="1" applyProtection="1">
      <alignment horizontal="center"/>
    </xf>
    <xf numFmtId="165" fontId="4" fillId="0" borderId="0" xfId="3" applyNumberFormat="1" applyFont="1" applyFill="1" applyBorder="1" applyAlignment="1" applyProtection="1">
      <alignment horizontal="center"/>
    </xf>
    <xf numFmtId="165" fontId="3" fillId="0" borderId="0" xfId="3" applyNumberFormat="1" applyFont="1" applyFill="1" applyBorder="1" applyAlignment="1" applyProtection="1">
      <alignment horizontal="center" vertical="center"/>
    </xf>
    <xf numFmtId="0" fontId="3" fillId="2" borderId="0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165" fontId="3" fillId="4" borderId="3" xfId="3" applyNumberFormat="1" applyFont="1" applyFill="1" applyBorder="1" applyAlignment="1" applyProtection="1">
      <alignment horizontal="center" vertical="center"/>
    </xf>
    <xf numFmtId="0" fontId="3" fillId="2" borderId="17" xfId="1" applyFont="1" applyFill="1" applyBorder="1" applyAlignment="1">
      <alignment horizontal="center" vertical="center" wrapText="1"/>
    </xf>
    <xf numFmtId="0" fontId="0" fillId="0" borderId="0" xfId="0" applyBorder="1" applyAlignment="1">
      <alignment horizontal="left"/>
    </xf>
    <xf numFmtId="165" fontId="6" fillId="0" borderId="15" xfId="0" applyNumberFormat="1" applyFont="1" applyBorder="1"/>
  </cellXfs>
  <cellStyles count="4">
    <cellStyle name="Comma 2 3" xfId="3" xr:uid="{813095FF-7F44-43B3-8E3E-7506F53FA7FF}"/>
    <cellStyle name="Normal" xfId="0" builtinId="0"/>
    <cellStyle name="Normal 2" xfId="2" xr:uid="{8B7671C3-94A6-4E20-B253-D4D5EBEC7ED3}"/>
    <cellStyle name="Normal 3" xfId="1" xr:uid="{520D4722-4DD0-4BB5-9565-FC9386ABC2E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4627-C2A2-4924-A3A7-17B2D83EA8DD}">
  <dimension ref="A1:O53"/>
  <sheetViews>
    <sheetView tabSelected="1" topLeftCell="A15" workbookViewId="0">
      <selection activeCell="G34" sqref="G34"/>
    </sheetView>
  </sheetViews>
  <sheetFormatPr defaultRowHeight="14.4" x14ac:dyDescent="0.3"/>
  <cols>
    <col min="1" max="1" width="11.77734375" bestFit="1" customWidth="1"/>
    <col min="2" max="2" width="42.77734375" bestFit="1" customWidth="1"/>
    <col min="3" max="4" width="21.109375" customWidth="1"/>
    <col min="5" max="5" width="14.44140625" bestFit="1" customWidth="1"/>
    <col min="6" max="6" width="3.33203125" customWidth="1"/>
    <col min="7" max="7" width="9.33203125" customWidth="1"/>
    <col min="8" max="8" width="11.5546875" customWidth="1"/>
    <col min="9" max="9" width="11.77734375" hidden="1" customWidth="1"/>
    <col min="10" max="10" width="14.33203125" customWidth="1"/>
    <col min="11" max="11" width="3.109375" customWidth="1"/>
    <col min="12" max="12" width="62.33203125" customWidth="1"/>
    <col min="14" max="14" width="14.44140625" customWidth="1"/>
  </cols>
  <sheetData>
    <row r="1" spans="1:14" ht="15" thickBot="1" x14ac:dyDescent="0.35"/>
    <row r="2" spans="1:14" s="7" customFormat="1" ht="48" customHeight="1" x14ac:dyDescent="0.35">
      <c r="A2" s="8" t="s">
        <v>3</v>
      </c>
      <c r="B2" s="9" t="s">
        <v>4</v>
      </c>
      <c r="C2" s="9" t="s">
        <v>5</v>
      </c>
      <c r="D2" s="9" t="s">
        <v>22</v>
      </c>
      <c r="E2" s="11" t="s">
        <v>17</v>
      </c>
      <c r="F2" s="9"/>
      <c r="G2" s="9" t="s">
        <v>6</v>
      </c>
      <c r="H2" s="9" t="s">
        <v>7</v>
      </c>
      <c r="I2" s="9" t="s">
        <v>8</v>
      </c>
      <c r="J2" s="9" t="s">
        <v>9</v>
      </c>
      <c r="K2" s="9"/>
      <c r="L2" s="9" t="s">
        <v>10</v>
      </c>
      <c r="M2" s="25" t="s">
        <v>21</v>
      </c>
      <c r="N2" s="27" t="s">
        <v>29</v>
      </c>
    </row>
    <row r="3" spans="1:14" x14ac:dyDescent="0.3">
      <c r="A3" s="10">
        <v>13000</v>
      </c>
      <c r="B3" s="10" t="str">
        <f>LOOKUP(A3,$B$46:$B$52,$C$46:$C$52)</f>
        <v>IT - equipment - end users (computers and laptops)</v>
      </c>
      <c r="C3" s="10" t="s">
        <v>16</v>
      </c>
      <c r="D3" s="10" t="s">
        <v>23</v>
      </c>
      <c r="E3" s="10" t="s">
        <v>28</v>
      </c>
      <c r="F3" s="10"/>
      <c r="G3" s="10">
        <v>5</v>
      </c>
      <c r="H3" s="10">
        <v>1000</v>
      </c>
      <c r="I3" s="10"/>
      <c r="J3" s="10">
        <f>G3*H3</f>
        <v>5000</v>
      </c>
      <c r="K3" s="10"/>
      <c r="L3" s="10" t="s">
        <v>20</v>
      </c>
      <c r="M3" s="26">
        <v>150</v>
      </c>
      <c r="N3" s="10">
        <f>M3*G3</f>
        <v>750</v>
      </c>
    </row>
    <row r="4" spans="1:14" x14ac:dyDescent="0.3">
      <c r="A4" s="10">
        <v>12000</v>
      </c>
      <c r="B4" s="10" t="str">
        <f>LOOKUP(A4,$B$46:$B$52,$C$46:$C$52)</f>
        <v>IT - equipment - periphery (telephony and printers)</v>
      </c>
      <c r="C4" s="10" t="s">
        <v>16</v>
      </c>
      <c r="D4" s="10" t="s">
        <v>23</v>
      </c>
      <c r="E4" s="10" t="s">
        <v>25</v>
      </c>
      <c r="F4" s="10"/>
      <c r="G4" s="10">
        <v>1</v>
      </c>
      <c r="H4" s="10">
        <v>1500</v>
      </c>
      <c r="I4" s="10"/>
      <c r="J4" s="10">
        <f t="shared" ref="J4" si="0">G4*H4</f>
        <v>1500</v>
      </c>
      <c r="K4" s="10"/>
      <c r="L4" s="10" t="s">
        <v>20</v>
      </c>
      <c r="M4" s="26">
        <v>30</v>
      </c>
      <c r="N4" s="10">
        <f>M4*G4</f>
        <v>30</v>
      </c>
    </row>
    <row r="5" spans="1:14" x14ac:dyDescent="0.3">
      <c r="A5" s="10">
        <v>12000</v>
      </c>
      <c r="B5" s="10" t="str">
        <f>LOOKUP(A5,$B$46:$B$52,$C$46:$C$52)</f>
        <v>IT - equipment - periphery (telephony and printers)</v>
      </c>
      <c r="C5" s="10" t="s">
        <v>16</v>
      </c>
      <c r="D5" s="10" t="s">
        <v>23</v>
      </c>
      <c r="E5" s="10" t="s">
        <v>24</v>
      </c>
      <c r="F5" s="10"/>
      <c r="G5" s="10">
        <v>1</v>
      </c>
      <c r="H5" s="10">
        <v>75</v>
      </c>
      <c r="I5" s="10"/>
      <c r="J5" s="10">
        <f t="shared" ref="J5:J36" si="1">G5*H5</f>
        <v>75</v>
      </c>
      <c r="K5" s="10"/>
      <c r="L5" s="10" t="s">
        <v>20</v>
      </c>
      <c r="M5" s="26">
        <v>10</v>
      </c>
      <c r="N5" s="10">
        <f>M5*G5</f>
        <v>10</v>
      </c>
    </row>
    <row r="6" spans="1:14" x14ac:dyDescent="0.3">
      <c r="A6" s="10">
        <v>11000</v>
      </c>
      <c r="B6" s="10" t="str">
        <f>LOOKUP(A6,$B$46:$B$52,$C$46:$C$52)</f>
        <v>IT- equipment - switches</v>
      </c>
      <c r="C6" s="10" t="s">
        <v>16</v>
      </c>
      <c r="D6" s="10" t="s">
        <v>23</v>
      </c>
      <c r="E6" s="10" t="s">
        <v>18</v>
      </c>
      <c r="F6" s="10"/>
      <c r="G6" s="10">
        <v>1</v>
      </c>
      <c r="H6" s="10">
        <v>1500</v>
      </c>
      <c r="I6" s="10"/>
      <c r="J6" s="10">
        <f t="shared" si="1"/>
        <v>1500</v>
      </c>
      <c r="K6" s="10"/>
      <c r="L6" s="10" t="s">
        <v>20</v>
      </c>
      <c r="M6" s="26">
        <v>40</v>
      </c>
      <c r="N6" s="10">
        <f>M6*G6</f>
        <v>40</v>
      </c>
    </row>
    <row r="7" spans="1:14" x14ac:dyDescent="0.3">
      <c r="A7" s="10">
        <v>12000</v>
      </c>
      <c r="B7" s="10" t="str">
        <f>LOOKUP(A7,$B$46:$B$52,$C$46:$C$52)</f>
        <v>IT - equipment - periphery (telephony and printers)</v>
      </c>
      <c r="C7" s="10" t="s">
        <v>16</v>
      </c>
      <c r="D7" s="10" t="s">
        <v>39</v>
      </c>
      <c r="E7" s="10" t="s">
        <v>30</v>
      </c>
      <c r="F7" s="10"/>
      <c r="G7" s="10">
        <v>1</v>
      </c>
      <c r="H7" s="10">
        <v>150</v>
      </c>
      <c r="I7" s="10"/>
      <c r="J7" s="10">
        <f t="shared" si="1"/>
        <v>150</v>
      </c>
      <c r="K7" s="10"/>
      <c r="L7" s="10" t="s">
        <v>41</v>
      </c>
      <c r="M7" s="26">
        <v>35</v>
      </c>
      <c r="N7" s="10">
        <f>M7*G7</f>
        <v>35</v>
      </c>
    </row>
    <row r="8" spans="1:14" x14ac:dyDescent="0.3">
      <c r="A8" s="10">
        <v>10000</v>
      </c>
      <c r="B8" s="10" t="str">
        <f>LOOKUP(A8,$B$46:$B$52,$C$46:$C$52)</f>
        <v>IT - equipment - routers</v>
      </c>
      <c r="C8" s="10" t="s">
        <v>16</v>
      </c>
      <c r="D8" s="10" t="s">
        <v>39</v>
      </c>
      <c r="E8" s="10" t="s">
        <v>27</v>
      </c>
      <c r="F8" s="10"/>
      <c r="G8" s="10">
        <v>1</v>
      </c>
      <c r="H8" s="10">
        <v>150</v>
      </c>
      <c r="I8" s="10"/>
      <c r="J8" s="10">
        <f t="shared" si="1"/>
        <v>150</v>
      </c>
      <c r="K8" s="10"/>
      <c r="L8" s="10" t="s">
        <v>26</v>
      </c>
      <c r="M8" s="26">
        <v>35</v>
      </c>
      <c r="N8" s="10">
        <f>M8*G8</f>
        <v>35</v>
      </c>
    </row>
    <row r="9" spans="1:14" x14ac:dyDescent="0.3">
      <c r="A9" s="10">
        <v>11000</v>
      </c>
      <c r="B9" s="10" t="str">
        <f>LOOKUP(A9,$B$46:$B$52,$C$46:$C$52)</f>
        <v>IT- equipment - switches</v>
      </c>
      <c r="C9" s="10" t="s">
        <v>16</v>
      </c>
      <c r="D9" s="10" t="s">
        <v>32</v>
      </c>
      <c r="E9" s="10" t="s">
        <v>31</v>
      </c>
      <c r="F9" s="10"/>
      <c r="G9" s="10">
        <v>1</v>
      </c>
      <c r="H9" s="10">
        <v>1500</v>
      </c>
      <c r="I9" s="10"/>
      <c r="J9" s="10">
        <f t="shared" si="1"/>
        <v>1500</v>
      </c>
      <c r="K9" s="10"/>
      <c r="L9" s="10" t="s">
        <v>32</v>
      </c>
      <c r="M9" s="26">
        <v>40</v>
      </c>
      <c r="N9" s="10">
        <f>M9*G9</f>
        <v>40</v>
      </c>
    </row>
    <row r="10" spans="1:14" x14ac:dyDescent="0.3">
      <c r="A10" s="10">
        <v>13000</v>
      </c>
      <c r="B10" s="10" t="str">
        <f>LOOKUP(A10,$B$46:$B$52,$C$46:$C$52)</f>
        <v>IT - equipment - end users (computers and laptops)</v>
      </c>
      <c r="C10" s="10" t="s">
        <v>16</v>
      </c>
      <c r="D10" s="10" t="s">
        <v>32</v>
      </c>
      <c r="E10" s="10" t="s">
        <v>28</v>
      </c>
      <c r="F10" s="10"/>
      <c r="G10" s="10">
        <v>8</v>
      </c>
      <c r="H10" s="10">
        <v>1000</v>
      </c>
      <c r="I10" s="10"/>
      <c r="J10" s="10">
        <f t="shared" si="1"/>
        <v>8000</v>
      </c>
      <c r="K10" s="10"/>
      <c r="L10" s="10" t="s">
        <v>32</v>
      </c>
      <c r="M10" s="26">
        <v>150</v>
      </c>
      <c r="N10" s="10">
        <f>M10*G10</f>
        <v>1200</v>
      </c>
    </row>
    <row r="11" spans="1:14" x14ac:dyDescent="0.3">
      <c r="A11" s="10">
        <v>12000</v>
      </c>
      <c r="B11" s="10" t="str">
        <f>LOOKUP(A11,$B$46:$B$52,$C$46:$C$52)</f>
        <v>IT - equipment - periphery (telephony and printers)</v>
      </c>
      <c r="C11" s="10" t="s">
        <v>16</v>
      </c>
      <c r="D11" s="10" t="s">
        <v>32</v>
      </c>
      <c r="E11" s="10" t="s">
        <v>42</v>
      </c>
      <c r="F11" s="10"/>
      <c r="G11" s="10">
        <v>1</v>
      </c>
      <c r="H11" s="10">
        <v>1500</v>
      </c>
      <c r="I11" s="10"/>
      <c r="J11" s="10">
        <f t="shared" si="1"/>
        <v>1500</v>
      </c>
      <c r="K11" s="10"/>
      <c r="L11" s="10" t="s">
        <v>32</v>
      </c>
      <c r="M11" s="26">
        <v>30</v>
      </c>
      <c r="N11" s="10">
        <f>M11*G11</f>
        <v>30</v>
      </c>
    </row>
    <row r="12" spans="1:14" x14ac:dyDescent="0.3">
      <c r="A12" s="10">
        <v>12000</v>
      </c>
      <c r="B12" s="10" t="str">
        <f>LOOKUP(A12,$B$46:$B$52,$C$46:$C$52)</f>
        <v>IT - equipment - periphery (telephony and printers)</v>
      </c>
      <c r="C12" s="10" t="s">
        <v>16</v>
      </c>
      <c r="D12" s="10" t="s">
        <v>32</v>
      </c>
      <c r="E12" s="10" t="s">
        <v>24</v>
      </c>
      <c r="F12" s="10"/>
      <c r="G12" s="10">
        <v>1</v>
      </c>
      <c r="H12" s="10">
        <v>75</v>
      </c>
      <c r="I12" s="10"/>
      <c r="J12" s="10">
        <f t="shared" si="1"/>
        <v>75</v>
      </c>
      <c r="K12" s="10"/>
      <c r="L12" s="10" t="s">
        <v>32</v>
      </c>
      <c r="M12" s="26">
        <v>10</v>
      </c>
      <c r="N12" s="10">
        <f>M12*G12</f>
        <v>10</v>
      </c>
    </row>
    <row r="13" spans="1:14" x14ac:dyDescent="0.3">
      <c r="A13" s="10">
        <v>11000</v>
      </c>
      <c r="B13" s="10" t="str">
        <f>LOOKUP(A13,$B$46:$B$52,$C$46:$C$52)</f>
        <v>IT- equipment - switches</v>
      </c>
      <c r="C13" s="10" t="s">
        <v>16</v>
      </c>
      <c r="D13" s="10" t="s">
        <v>35</v>
      </c>
      <c r="E13" s="10" t="s">
        <v>40</v>
      </c>
      <c r="F13" s="10"/>
      <c r="G13" s="10">
        <v>1</v>
      </c>
      <c r="H13" s="10">
        <v>1500</v>
      </c>
      <c r="I13" s="10"/>
      <c r="J13" s="10">
        <f t="shared" si="1"/>
        <v>1500</v>
      </c>
      <c r="K13" s="10"/>
      <c r="L13" s="10" t="s">
        <v>35</v>
      </c>
      <c r="M13" s="26">
        <v>40</v>
      </c>
      <c r="N13" s="10">
        <f>M13*G13</f>
        <v>40</v>
      </c>
    </row>
    <row r="14" spans="1:14" x14ac:dyDescent="0.3">
      <c r="A14" s="10">
        <v>13000</v>
      </c>
      <c r="B14" s="10" t="str">
        <f>LOOKUP(A14,$B$46:$B$52,$C$46:$C$52)</f>
        <v>IT - equipment - end users (computers and laptops)</v>
      </c>
      <c r="C14" s="10" t="s">
        <v>16</v>
      </c>
      <c r="D14" s="10" t="s">
        <v>35</v>
      </c>
      <c r="E14" s="10" t="s">
        <v>28</v>
      </c>
      <c r="F14" s="10"/>
      <c r="G14" s="10">
        <v>10</v>
      </c>
      <c r="H14" s="10">
        <v>1000</v>
      </c>
      <c r="I14" s="10"/>
      <c r="J14" s="10">
        <f t="shared" si="1"/>
        <v>10000</v>
      </c>
      <c r="K14" s="10"/>
      <c r="L14" s="10" t="s">
        <v>35</v>
      </c>
      <c r="M14" s="26">
        <v>150</v>
      </c>
      <c r="N14" s="10">
        <f>M14*G14</f>
        <v>1500</v>
      </c>
    </row>
    <row r="15" spans="1:14" x14ac:dyDescent="0.3">
      <c r="A15" s="10">
        <v>12000</v>
      </c>
      <c r="B15" s="10" t="str">
        <f>LOOKUP(A15,$B$46:$B$52,$C$46:$C$52)</f>
        <v>IT - equipment - periphery (telephony and printers)</v>
      </c>
      <c r="C15" s="10" t="s">
        <v>16</v>
      </c>
      <c r="D15" s="10" t="s">
        <v>35</v>
      </c>
      <c r="E15" s="10" t="s">
        <v>24</v>
      </c>
      <c r="F15" s="10"/>
      <c r="G15" s="10">
        <v>1</v>
      </c>
      <c r="H15" s="10">
        <v>75</v>
      </c>
      <c r="I15" s="10"/>
      <c r="J15" s="10">
        <f t="shared" si="1"/>
        <v>75</v>
      </c>
      <c r="K15" s="10"/>
      <c r="L15" s="10" t="s">
        <v>35</v>
      </c>
      <c r="M15" s="26">
        <v>10</v>
      </c>
      <c r="N15" s="10">
        <f>M15*G15</f>
        <v>10</v>
      </c>
    </row>
    <row r="16" spans="1:14" x14ac:dyDescent="0.3">
      <c r="A16" s="10">
        <v>12000</v>
      </c>
      <c r="B16" s="10" t="str">
        <f>LOOKUP(A16,$B$46:$B$52,$C$46:$C$52)</f>
        <v>IT - equipment - periphery (telephony and printers)</v>
      </c>
      <c r="C16" s="10" t="s">
        <v>16</v>
      </c>
      <c r="D16" s="10" t="s">
        <v>35</v>
      </c>
      <c r="E16" s="10" t="s">
        <v>42</v>
      </c>
      <c r="F16" s="10"/>
      <c r="G16" s="10">
        <v>1</v>
      </c>
      <c r="H16" s="10">
        <v>1500</v>
      </c>
      <c r="I16" s="10"/>
      <c r="J16" s="10">
        <f t="shared" si="1"/>
        <v>1500</v>
      </c>
      <c r="K16" s="10"/>
      <c r="L16" s="10" t="s">
        <v>35</v>
      </c>
      <c r="M16" s="26">
        <v>30</v>
      </c>
      <c r="N16" s="10">
        <f>M16*G16</f>
        <v>30</v>
      </c>
    </row>
    <row r="17" spans="1:14" x14ac:dyDescent="0.3">
      <c r="A17" s="10">
        <v>11000</v>
      </c>
      <c r="B17" s="10" t="str">
        <f>LOOKUP(A17,$B$46:$B$52,$C$46:$C$52)</f>
        <v>IT- equipment - switches</v>
      </c>
      <c r="C17" s="10" t="s">
        <v>16</v>
      </c>
      <c r="D17" s="10" t="s">
        <v>36</v>
      </c>
      <c r="E17" s="10" t="s">
        <v>43</v>
      </c>
      <c r="F17" s="10"/>
      <c r="G17" s="10">
        <v>1</v>
      </c>
      <c r="H17" s="10">
        <v>1500</v>
      </c>
      <c r="I17" s="10"/>
      <c r="J17" s="10">
        <f>G17*H17</f>
        <v>1500</v>
      </c>
      <c r="K17" s="10"/>
      <c r="L17" s="10" t="s">
        <v>36</v>
      </c>
      <c r="M17" s="26">
        <v>40</v>
      </c>
      <c r="N17" s="10">
        <f>M17*G17</f>
        <v>40</v>
      </c>
    </row>
    <row r="18" spans="1:14" x14ac:dyDescent="0.3">
      <c r="A18" s="10">
        <v>13000</v>
      </c>
      <c r="B18" s="10" t="str">
        <f>LOOKUP(A18,$B$46:$B$52,$C$46:$C$52)</f>
        <v>IT - equipment - end users (computers and laptops)</v>
      </c>
      <c r="C18" s="10" t="s">
        <v>16</v>
      </c>
      <c r="D18" s="10" t="s">
        <v>36</v>
      </c>
      <c r="E18" s="10" t="s">
        <v>28</v>
      </c>
      <c r="F18" s="10"/>
      <c r="G18" s="10">
        <v>10</v>
      </c>
      <c r="H18" s="10">
        <v>1000</v>
      </c>
      <c r="I18" s="10"/>
      <c r="J18" s="10">
        <f t="shared" si="1"/>
        <v>10000</v>
      </c>
      <c r="K18" s="10"/>
      <c r="L18" s="10" t="s">
        <v>36</v>
      </c>
      <c r="M18" s="26">
        <v>150</v>
      </c>
      <c r="N18" s="10">
        <f>M18*G18</f>
        <v>1500</v>
      </c>
    </row>
    <row r="19" spans="1:14" x14ac:dyDescent="0.3">
      <c r="A19" s="10">
        <v>12000</v>
      </c>
      <c r="B19" s="10" t="str">
        <f>LOOKUP(A19,$B$46:$B$52,$C$46:$C$52)</f>
        <v>IT - equipment - periphery (telephony and printers)</v>
      </c>
      <c r="C19" s="10" t="s">
        <v>16</v>
      </c>
      <c r="D19" s="10" t="s">
        <v>36</v>
      </c>
      <c r="E19" s="10" t="s">
        <v>24</v>
      </c>
      <c r="F19" s="10"/>
      <c r="G19" s="10">
        <v>1</v>
      </c>
      <c r="H19" s="10">
        <v>75</v>
      </c>
      <c r="I19" s="10"/>
      <c r="J19" s="10">
        <f t="shared" ref="J19:J20" si="2">G19*H19</f>
        <v>75</v>
      </c>
      <c r="K19" s="10"/>
      <c r="L19" s="10" t="s">
        <v>36</v>
      </c>
      <c r="M19" s="26">
        <v>10</v>
      </c>
      <c r="N19" s="10">
        <f>M19*G19</f>
        <v>10</v>
      </c>
    </row>
    <row r="20" spans="1:14" x14ac:dyDescent="0.3">
      <c r="A20" s="10">
        <v>12000</v>
      </c>
      <c r="B20" s="10" t="str">
        <f>LOOKUP(A20,$B$46:$B$52,$C$46:$C$52)</f>
        <v>IT - equipment - periphery (telephony and printers)</v>
      </c>
      <c r="C20" s="10" t="s">
        <v>16</v>
      </c>
      <c r="D20" s="10" t="s">
        <v>36</v>
      </c>
      <c r="E20" s="10" t="s">
        <v>42</v>
      </c>
      <c r="F20" s="10"/>
      <c r="G20" s="10">
        <v>1</v>
      </c>
      <c r="H20" s="10">
        <v>1500</v>
      </c>
      <c r="I20" s="10"/>
      <c r="J20" s="10">
        <f t="shared" si="2"/>
        <v>1500</v>
      </c>
      <c r="K20" s="10"/>
      <c r="L20" s="10" t="s">
        <v>36</v>
      </c>
      <c r="M20" s="26">
        <v>30</v>
      </c>
      <c r="N20" s="10">
        <f>M20*G20</f>
        <v>30</v>
      </c>
    </row>
    <row r="21" spans="1:14" x14ac:dyDescent="0.3">
      <c r="A21" s="10">
        <v>11000</v>
      </c>
      <c r="B21" s="10" t="str">
        <f>LOOKUP(A21,$B$46:$B$52,$C$46:$C$52)</f>
        <v>IT- equipment - switches</v>
      </c>
      <c r="C21" s="10" t="s">
        <v>16</v>
      </c>
      <c r="D21" s="10" t="s">
        <v>37</v>
      </c>
      <c r="E21" s="10" t="s">
        <v>44</v>
      </c>
      <c r="F21" s="10"/>
      <c r="G21" s="10">
        <v>1</v>
      </c>
      <c r="H21" s="10">
        <v>1500</v>
      </c>
      <c r="I21" s="10"/>
      <c r="J21" s="10">
        <f>G21*H21</f>
        <v>1500</v>
      </c>
      <c r="K21" s="10"/>
      <c r="L21" s="10" t="s">
        <v>37</v>
      </c>
      <c r="M21" s="26">
        <v>40</v>
      </c>
      <c r="N21" s="10">
        <f>M21*G21</f>
        <v>40</v>
      </c>
    </row>
    <row r="22" spans="1:14" x14ac:dyDescent="0.3">
      <c r="A22" s="10">
        <v>13000</v>
      </c>
      <c r="B22" s="10" t="str">
        <f>LOOKUP(A22,$B$46:$B$52,$C$46:$C$52)</f>
        <v>IT - equipment - end users (computers and laptops)</v>
      </c>
      <c r="C22" s="10" t="s">
        <v>16</v>
      </c>
      <c r="D22" s="10" t="s">
        <v>37</v>
      </c>
      <c r="E22" s="10" t="s">
        <v>28</v>
      </c>
      <c r="F22" s="10"/>
      <c r="G22" s="10">
        <v>10</v>
      </c>
      <c r="H22" s="10">
        <v>1000</v>
      </c>
      <c r="I22" s="10"/>
      <c r="J22" s="10">
        <f t="shared" si="1"/>
        <v>10000</v>
      </c>
      <c r="K22" s="10"/>
      <c r="L22" s="10" t="s">
        <v>37</v>
      </c>
      <c r="M22" s="26">
        <v>150</v>
      </c>
      <c r="N22" s="10">
        <f>M22*G22</f>
        <v>1500</v>
      </c>
    </row>
    <row r="23" spans="1:14" x14ac:dyDescent="0.3">
      <c r="A23" s="10">
        <v>12000</v>
      </c>
      <c r="B23" s="10" t="str">
        <f>LOOKUP(A23,$B$46:$B$52,$C$46:$C$52)</f>
        <v>IT - equipment - periphery (telephony and printers)</v>
      </c>
      <c r="C23" s="10" t="s">
        <v>16</v>
      </c>
      <c r="D23" s="10" t="s">
        <v>37</v>
      </c>
      <c r="E23" s="10" t="s">
        <v>24</v>
      </c>
      <c r="F23" s="10"/>
      <c r="G23" s="10">
        <v>1</v>
      </c>
      <c r="H23" s="10">
        <v>75</v>
      </c>
      <c r="I23" s="10"/>
      <c r="J23" s="10">
        <f t="shared" si="1"/>
        <v>75</v>
      </c>
      <c r="K23" s="10"/>
      <c r="L23" s="10" t="s">
        <v>37</v>
      </c>
      <c r="M23" s="26">
        <v>10</v>
      </c>
      <c r="N23" s="10">
        <f>M23*G23</f>
        <v>10</v>
      </c>
    </row>
    <row r="24" spans="1:14" x14ac:dyDescent="0.3">
      <c r="A24" s="10">
        <v>12000</v>
      </c>
      <c r="B24" s="10" t="str">
        <f>LOOKUP(A24,$B$46:$B$52,$C$46:$C$52)</f>
        <v>IT - equipment - periphery (telephony and printers)</v>
      </c>
      <c r="C24" s="10" t="s">
        <v>16</v>
      </c>
      <c r="D24" s="10" t="s">
        <v>37</v>
      </c>
      <c r="E24" s="10" t="s">
        <v>42</v>
      </c>
      <c r="F24" s="10"/>
      <c r="G24" s="10">
        <v>1</v>
      </c>
      <c r="H24" s="10">
        <v>1500</v>
      </c>
      <c r="I24" s="10"/>
      <c r="J24" s="10">
        <f t="shared" si="1"/>
        <v>1500</v>
      </c>
      <c r="K24" s="10"/>
      <c r="L24" s="10" t="s">
        <v>37</v>
      </c>
      <c r="M24" s="26">
        <v>30</v>
      </c>
      <c r="N24" s="10">
        <f>M24*G24</f>
        <v>30</v>
      </c>
    </row>
    <row r="25" spans="1:14" x14ac:dyDescent="0.3">
      <c r="A25" s="10">
        <v>11000</v>
      </c>
      <c r="B25" s="10" t="str">
        <f>LOOKUP(A25,$B$46:$B$52,$C$46:$C$52)</f>
        <v>IT- equipment - switches</v>
      </c>
      <c r="C25" s="10" t="s">
        <v>16</v>
      </c>
      <c r="D25" s="10" t="s">
        <v>38</v>
      </c>
      <c r="E25" s="10" t="s">
        <v>45</v>
      </c>
      <c r="F25" s="10"/>
      <c r="G25" s="10">
        <v>1</v>
      </c>
      <c r="H25" s="10">
        <v>1500</v>
      </c>
      <c r="I25" s="10"/>
      <c r="J25" s="10">
        <f>G25*H25</f>
        <v>1500</v>
      </c>
      <c r="K25" s="10"/>
      <c r="L25" s="10" t="s">
        <v>38</v>
      </c>
      <c r="M25" s="26">
        <v>40</v>
      </c>
      <c r="N25" s="10">
        <f>M25*G25</f>
        <v>40</v>
      </c>
    </row>
    <row r="26" spans="1:14" x14ac:dyDescent="0.3">
      <c r="A26" s="10">
        <v>13000</v>
      </c>
      <c r="B26" s="10" t="str">
        <f>LOOKUP(A26,$B$46:$B$52,$C$46:$C$52)</f>
        <v>IT - equipment - end users (computers and laptops)</v>
      </c>
      <c r="C26" s="10" t="s">
        <v>16</v>
      </c>
      <c r="D26" s="10" t="s">
        <v>38</v>
      </c>
      <c r="E26" s="10" t="s">
        <v>28</v>
      </c>
      <c r="F26" s="10"/>
      <c r="G26" s="10">
        <v>5</v>
      </c>
      <c r="H26" s="10">
        <v>1000</v>
      </c>
      <c r="I26" s="10"/>
      <c r="J26" s="10">
        <f t="shared" si="1"/>
        <v>5000</v>
      </c>
      <c r="K26" s="10"/>
      <c r="L26" s="10" t="s">
        <v>38</v>
      </c>
      <c r="M26" s="26">
        <v>150</v>
      </c>
      <c r="N26" s="10">
        <f>M26*G26</f>
        <v>750</v>
      </c>
    </row>
    <row r="27" spans="1:14" x14ac:dyDescent="0.3">
      <c r="A27" s="10">
        <v>12000</v>
      </c>
      <c r="B27" s="10" t="str">
        <f>LOOKUP(A27,$B$46:$B$52,$C$46:$C$52)</f>
        <v>IT - equipment - periphery (telephony and printers)</v>
      </c>
      <c r="C27" s="10" t="s">
        <v>16</v>
      </c>
      <c r="D27" s="10" t="s">
        <v>38</v>
      </c>
      <c r="E27" s="10" t="s">
        <v>24</v>
      </c>
      <c r="F27" s="10"/>
      <c r="G27" s="10">
        <v>1</v>
      </c>
      <c r="H27" s="10">
        <v>75</v>
      </c>
      <c r="I27" s="10"/>
      <c r="J27" s="10">
        <f t="shared" si="1"/>
        <v>75</v>
      </c>
      <c r="K27" s="10"/>
      <c r="L27" s="10" t="s">
        <v>38</v>
      </c>
      <c r="M27" s="26">
        <v>10</v>
      </c>
      <c r="N27" s="10">
        <f>M27*G27</f>
        <v>10</v>
      </c>
    </row>
    <row r="28" spans="1:14" x14ac:dyDescent="0.3">
      <c r="A28" s="10">
        <v>12000</v>
      </c>
      <c r="B28" s="10" t="str">
        <f>LOOKUP(A28,$B$46:$B$52,$C$46:$C$52)</f>
        <v>IT - equipment - periphery (telephony and printers)</v>
      </c>
      <c r="C28" s="10" t="s">
        <v>16</v>
      </c>
      <c r="D28" s="10" t="s">
        <v>38</v>
      </c>
      <c r="E28" s="10" t="s">
        <v>42</v>
      </c>
      <c r="F28" s="10"/>
      <c r="G28" s="10">
        <v>1</v>
      </c>
      <c r="H28" s="10">
        <v>1500</v>
      </c>
      <c r="I28" s="10"/>
      <c r="J28" s="10">
        <f t="shared" si="1"/>
        <v>1500</v>
      </c>
      <c r="K28" s="10"/>
      <c r="L28" s="10" t="s">
        <v>38</v>
      </c>
      <c r="M28" s="26">
        <v>30</v>
      </c>
      <c r="N28" s="10">
        <f>M28*G28</f>
        <v>30</v>
      </c>
    </row>
    <row r="29" spans="1:14" x14ac:dyDescent="0.3">
      <c r="A29" s="10">
        <v>10000</v>
      </c>
      <c r="B29" s="10" t="str">
        <f>LOOKUP(A29,$B$46:$B$52,$C$46:$C$52)</f>
        <v>IT - equipment - routers</v>
      </c>
      <c r="C29" s="10" t="s">
        <v>16</v>
      </c>
      <c r="D29" s="10" t="s">
        <v>39</v>
      </c>
      <c r="E29" s="10" t="s">
        <v>58</v>
      </c>
      <c r="F29" s="10"/>
      <c r="G29" s="10">
        <v>1</v>
      </c>
      <c r="H29" s="10">
        <v>100</v>
      </c>
      <c r="I29" s="10"/>
      <c r="J29" s="10">
        <f t="shared" si="1"/>
        <v>100</v>
      </c>
      <c r="K29" s="10"/>
      <c r="L29" s="10" t="s">
        <v>59</v>
      </c>
      <c r="M29" s="26">
        <v>50</v>
      </c>
      <c r="N29" s="10">
        <f>M29*G29</f>
        <v>50</v>
      </c>
    </row>
    <row r="30" spans="1:14" x14ac:dyDescent="0.3">
      <c r="A30" s="10">
        <v>11000</v>
      </c>
      <c r="B30" s="10" t="str">
        <f>LOOKUP(A30,$B$46:$B$52,$C$46:$C$52)</f>
        <v>IT- equipment - switches</v>
      </c>
      <c r="C30" s="10" t="s">
        <v>16</v>
      </c>
      <c r="D30" s="10" t="s">
        <v>39</v>
      </c>
      <c r="E30" s="10" t="s">
        <v>46</v>
      </c>
      <c r="F30" s="10"/>
      <c r="G30" s="10">
        <v>1</v>
      </c>
      <c r="H30" s="10">
        <v>1500</v>
      </c>
      <c r="I30" s="10"/>
      <c r="J30" s="10">
        <f>G30*H30</f>
        <v>1500</v>
      </c>
      <c r="K30" s="10"/>
      <c r="L30" s="10" t="s">
        <v>47</v>
      </c>
      <c r="M30" s="26">
        <v>40</v>
      </c>
      <c r="N30" s="10">
        <f>M30*G30</f>
        <v>40</v>
      </c>
    </row>
    <row r="31" spans="1:14" x14ac:dyDescent="0.3">
      <c r="A31" s="10">
        <v>15000</v>
      </c>
      <c r="B31" s="10" t="str">
        <f>LOOKUP(A31,$B$46:$B$52,$C$46:$C$52)</f>
        <v>IT - equipment - servers</v>
      </c>
      <c r="C31" s="10" t="s">
        <v>16</v>
      </c>
      <c r="D31" s="10" t="s">
        <v>39</v>
      </c>
      <c r="E31" s="10" t="s">
        <v>48</v>
      </c>
      <c r="F31" s="10"/>
      <c r="G31" s="10">
        <v>1</v>
      </c>
      <c r="H31" s="10">
        <v>2000</v>
      </c>
      <c r="I31" s="10"/>
      <c r="J31" s="10">
        <f t="shared" si="1"/>
        <v>2000</v>
      </c>
      <c r="K31" s="10"/>
      <c r="L31" s="10" t="s">
        <v>47</v>
      </c>
      <c r="M31" s="26">
        <v>200</v>
      </c>
      <c r="N31" s="10">
        <f>M31*G31</f>
        <v>200</v>
      </c>
    </row>
    <row r="32" spans="1:14" x14ac:dyDescent="0.3">
      <c r="A32" s="10">
        <v>15000</v>
      </c>
      <c r="B32" s="10" t="str">
        <f>LOOKUP(A32,$B$46:$B$52,$C$46:$C$52)</f>
        <v>IT - equipment - servers</v>
      </c>
      <c r="C32" s="10" t="s">
        <v>16</v>
      </c>
      <c r="D32" s="10" t="s">
        <v>39</v>
      </c>
      <c r="E32" s="10" t="s">
        <v>49</v>
      </c>
      <c r="F32" s="10"/>
      <c r="G32" s="10">
        <v>1</v>
      </c>
      <c r="H32" s="10">
        <v>2000</v>
      </c>
      <c r="I32" s="10"/>
      <c r="J32" s="10">
        <f t="shared" si="1"/>
        <v>2000</v>
      </c>
      <c r="K32" s="10"/>
      <c r="L32" s="10" t="s">
        <v>47</v>
      </c>
      <c r="M32" s="26">
        <v>200</v>
      </c>
      <c r="N32" s="10">
        <f>M32*G32</f>
        <v>200</v>
      </c>
    </row>
    <row r="33" spans="1:15" x14ac:dyDescent="0.3">
      <c r="A33" s="10">
        <v>14000</v>
      </c>
      <c r="B33" s="10" t="str">
        <f>LOOKUP(A33,$B$46:$B$52,$C$46:$C$52)</f>
        <v xml:space="preserve">IT - equipment - cables </v>
      </c>
      <c r="C33" s="10" t="s">
        <v>16</v>
      </c>
      <c r="D33" s="10" t="s">
        <v>39</v>
      </c>
      <c r="E33" s="10" t="s">
        <v>54</v>
      </c>
      <c r="F33" s="10"/>
      <c r="G33" s="10">
        <v>2</v>
      </c>
      <c r="H33" s="10">
        <f>10*10*G33</f>
        <v>200</v>
      </c>
      <c r="I33" s="10"/>
      <c r="J33" s="10">
        <f t="shared" si="1"/>
        <v>400</v>
      </c>
      <c r="K33" s="10"/>
      <c r="L33" s="10" t="s">
        <v>55</v>
      </c>
      <c r="M33" s="26">
        <v>0</v>
      </c>
      <c r="N33" s="10">
        <f>M33*G33</f>
        <v>0</v>
      </c>
    </row>
    <row r="34" spans="1:15" x14ac:dyDescent="0.3">
      <c r="A34" s="10">
        <v>14000</v>
      </c>
      <c r="B34" s="10" t="str">
        <f>LOOKUP(A34,$B$46:$B$52,$C$46:$C$52)</f>
        <v xml:space="preserve">IT - equipment - cables </v>
      </c>
      <c r="C34" s="10" t="s">
        <v>16</v>
      </c>
      <c r="D34" s="10" t="s">
        <v>39</v>
      </c>
      <c r="E34" s="10" t="s">
        <v>53</v>
      </c>
      <c r="F34" s="10"/>
      <c r="G34" s="10">
        <f>62+7</f>
        <v>69</v>
      </c>
      <c r="H34" s="10">
        <f>2*2*G34</f>
        <v>276</v>
      </c>
      <c r="I34" s="10"/>
      <c r="J34" s="10">
        <f t="shared" si="1"/>
        <v>19044</v>
      </c>
      <c r="K34" s="10"/>
      <c r="L34" s="10" t="s">
        <v>62</v>
      </c>
      <c r="M34" s="26">
        <v>0</v>
      </c>
      <c r="N34" s="10">
        <f>M34*G34</f>
        <v>0</v>
      </c>
    </row>
    <row r="35" spans="1:15" x14ac:dyDescent="0.3">
      <c r="A35" s="10">
        <v>15001</v>
      </c>
      <c r="B35" s="10" t="str">
        <f>LOOKUP(A35,$B$46:$B$52,$C$46:$C$52)</f>
        <v xml:space="preserve">Other </v>
      </c>
      <c r="C35" s="10" t="s">
        <v>16</v>
      </c>
      <c r="D35" s="10" t="s">
        <v>38</v>
      </c>
      <c r="E35" s="10" t="s">
        <v>56</v>
      </c>
      <c r="F35" s="10"/>
      <c r="G35" s="10">
        <v>1</v>
      </c>
      <c r="H35" s="10">
        <v>1000</v>
      </c>
      <c r="I35" s="10"/>
      <c r="J35" s="10">
        <f t="shared" si="1"/>
        <v>1000</v>
      </c>
      <c r="K35" s="10"/>
      <c r="L35" s="10" t="s">
        <v>57</v>
      </c>
      <c r="M35" s="26">
        <v>0</v>
      </c>
      <c r="N35" s="10">
        <f>M35*G35</f>
        <v>0</v>
      </c>
    </row>
    <row r="36" spans="1:15" x14ac:dyDescent="0.3">
      <c r="A36" s="10">
        <v>15001</v>
      </c>
      <c r="B36" s="10" t="str">
        <f>LOOKUP(A36,$B$46:$B$52,$C$46:$C$52)</f>
        <v xml:space="preserve">Other </v>
      </c>
      <c r="C36" s="10" t="s">
        <v>16</v>
      </c>
      <c r="D36" s="10" t="s">
        <v>39</v>
      </c>
      <c r="E36" s="10" t="s">
        <v>50</v>
      </c>
      <c r="F36" s="10"/>
      <c r="G36" s="10">
        <v>1</v>
      </c>
      <c r="H36" s="10">
        <v>5000</v>
      </c>
      <c r="I36" s="10"/>
      <c r="J36" s="10">
        <f t="shared" si="1"/>
        <v>5000</v>
      </c>
      <c r="K36" s="10"/>
      <c r="L36" s="10" t="s">
        <v>51</v>
      </c>
      <c r="M36" s="26">
        <v>500</v>
      </c>
      <c r="N36" s="10">
        <f>M36*G36</f>
        <v>500</v>
      </c>
    </row>
    <row r="38" spans="1:15" x14ac:dyDescent="0.3">
      <c r="M38">
        <f>SUM(M3:M37)</f>
        <v>2440</v>
      </c>
      <c r="N38">
        <f>SUM(N3:N37)</f>
        <v>8740</v>
      </c>
    </row>
    <row r="43" spans="1:15" ht="15" thickBot="1" x14ac:dyDescent="0.35"/>
    <row r="44" spans="1:15" ht="29.4" thickBot="1" x14ac:dyDescent="0.35">
      <c r="B44" s="33" t="s">
        <v>0</v>
      </c>
      <c r="C44" s="32" t="s">
        <v>1</v>
      </c>
      <c r="D44" s="24" t="s">
        <v>33</v>
      </c>
      <c r="E44" s="21"/>
      <c r="F44" s="31"/>
      <c r="G44" s="35"/>
      <c r="H44" s="20" t="s">
        <v>61</v>
      </c>
      <c r="I44" s="21"/>
      <c r="J44" s="31"/>
      <c r="K44" s="34" t="s">
        <v>34</v>
      </c>
      <c r="L44" s="22"/>
      <c r="M44" s="23"/>
    </row>
    <row r="45" spans="1:15" x14ac:dyDescent="0.3">
      <c r="B45" s="3" t="s">
        <v>19</v>
      </c>
      <c r="C45" s="4"/>
      <c r="D45" s="18">
        <f>SUM(D46:F52)</f>
        <v>97794</v>
      </c>
      <c r="E45" s="19"/>
      <c r="F45" s="28"/>
      <c r="G45" s="36"/>
      <c r="H45" s="42" t="s">
        <v>19</v>
      </c>
      <c r="I45" s="39"/>
      <c r="J45" s="40"/>
      <c r="K45" s="18">
        <f>SUM(K46:M52)</f>
        <v>97794</v>
      </c>
      <c r="L45" s="19"/>
      <c r="M45" s="28"/>
    </row>
    <row r="46" spans="1:15" x14ac:dyDescent="0.3">
      <c r="B46" s="1">
        <v>10000</v>
      </c>
      <c r="C46" s="2" t="s">
        <v>11</v>
      </c>
      <c r="D46" s="12">
        <f>SUMIF($A:$A,$B46,$J:$J)</f>
        <v>250</v>
      </c>
      <c r="E46" s="13"/>
      <c r="F46" s="29"/>
      <c r="G46" s="37"/>
      <c r="H46" s="12" t="s">
        <v>23</v>
      </c>
      <c r="I46" s="13"/>
      <c r="J46" s="29"/>
      <c r="K46" s="12">
        <f>SUMIF($D:$D,H46,$J:$J)</f>
        <v>8075</v>
      </c>
      <c r="L46" s="13"/>
      <c r="M46" s="29"/>
      <c r="N46" s="43"/>
      <c r="O46" s="43"/>
    </row>
    <row r="47" spans="1:15" x14ac:dyDescent="0.3">
      <c r="B47" s="1">
        <v>11000</v>
      </c>
      <c r="C47" s="2" t="s">
        <v>12</v>
      </c>
      <c r="D47" s="12">
        <f>SUMIF($A:$A,$B47,$J:$J)</f>
        <v>10500</v>
      </c>
      <c r="E47" s="13"/>
      <c r="F47" s="29"/>
      <c r="G47" s="37"/>
      <c r="H47" s="12" t="s">
        <v>32</v>
      </c>
      <c r="I47" s="13"/>
      <c r="J47" s="29"/>
      <c r="K47" s="12">
        <f>SUMIF($D:$D,H47,$J:$J)</f>
        <v>11075</v>
      </c>
      <c r="L47" s="13"/>
      <c r="M47" s="29"/>
      <c r="N47" s="43"/>
      <c r="O47" s="43"/>
    </row>
    <row r="48" spans="1:15" x14ac:dyDescent="0.3">
      <c r="B48" s="1">
        <v>12000</v>
      </c>
      <c r="C48" s="2" t="s">
        <v>13</v>
      </c>
      <c r="D48" s="12">
        <f>SUMIF($A:$A,$B48,$J:$J)</f>
        <v>9600</v>
      </c>
      <c r="E48" s="13"/>
      <c r="F48" s="29"/>
      <c r="G48" s="37"/>
      <c r="H48" s="12" t="s">
        <v>35</v>
      </c>
      <c r="I48" s="13"/>
      <c r="J48" s="29"/>
      <c r="K48" s="12">
        <f>SUMIF($D:$D,H48,$J:$J)</f>
        <v>13075</v>
      </c>
      <c r="L48" s="13"/>
      <c r="M48" s="29"/>
      <c r="N48" s="43"/>
      <c r="O48" s="43"/>
    </row>
    <row r="49" spans="2:15" x14ac:dyDescent="0.3">
      <c r="B49" s="1">
        <v>13000</v>
      </c>
      <c r="C49" s="2" t="s">
        <v>14</v>
      </c>
      <c r="D49" s="12">
        <f>SUMIF($A:$A,$B49,$J:$J)</f>
        <v>48000</v>
      </c>
      <c r="E49" s="13"/>
      <c r="F49" s="29"/>
      <c r="G49" s="37"/>
      <c r="H49" s="12" t="s">
        <v>36</v>
      </c>
      <c r="I49" s="13"/>
      <c r="J49" s="29"/>
      <c r="K49" s="12">
        <f>SUMIF($D:$D,H49,$J:$J)</f>
        <v>13075</v>
      </c>
      <c r="L49" s="13"/>
      <c r="M49" s="29"/>
      <c r="N49" s="43"/>
      <c r="O49" s="43"/>
    </row>
    <row r="50" spans="2:15" x14ac:dyDescent="0.3">
      <c r="B50" s="1">
        <v>14000</v>
      </c>
      <c r="C50" s="2" t="s">
        <v>60</v>
      </c>
      <c r="D50" s="12">
        <f>SUMIF($A:$A,$B50,$J:$J)</f>
        <v>19444</v>
      </c>
      <c r="E50" s="13"/>
      <c r="F50" s="29"/>
      <c r="G50" s="37"/>
      <c r="H50" s="12" t="s">
        <v>37</v>
      </c>
      <c r="I50" s="13"/>
      <c r="J50" s="29"/>
      <c r="K50" s="12">
        <f>SUMIF($D:$D,H50,$J:$J)</f>
        <v>13075</v>
      </c>
      <c r="L50" s="13"/>
      <c r="M50" s="29"/>
      <c r="N50" s="43"/>
      <c r="O50" s="43"/>
    </row>
    <row r="51" spans="2:15" x14ac:dyDescent="0.3">
      <c r="B51" s="1">
        <v>15000</v>
      </c>
      <c r="C51" s="2" t="s">
        <v>15</v>
      </c>
      <c r="D51" s="12">
        <f>SUMIF($A:$A,$B51,$J:$J)</f>
        <v>4000</v>
      </c>
      <c r="E51" s="13"/>
      <c r="F51" s="29"/>
      <c r="G51" s="37"/>
      <c r="H51" s="12" t="s">
        <v>38</v>
      </c>
      <c r="I51" s="13"/>
      <c r="J51" s="29"/>
      <c r="K51" s="12">
        <f>SUMIF($D:$D,H51,$J:$J)</f>
        <v>9075</v>
      </c>
      <c r="L51" s="13"/>
      <c r="M51" s="29"/>
      <c r="N51" s="43"/>
      <c r="O51" s="43"/>
    </row>
    <row r="52" spans="2:15" ht="15" thickBot="1" x14ac:dyDescent="0.35">
      <c r="B52" s="1">
        <v>15001</v>
      </c>
      <c r="C52" s="2" t="s">
        <v>52</v>
      </c>
      <c r="D52" s="12">
        <f>SUMIF($A:$A,$B52,$J:$J)</f>
        <v>6000</v>
      </c>
      <c r="E52" s="13"/>
      <c r="F52" s="29"/>
      <c r="G52" s="37"/>
      <c r="H52" s="12" t="s">
        <v>39</v>
      </c>
      <c r="I52" s="13"/>
      <c r="J52" s="29"/>
      <c r="K52" s="12">
        <f>SUMIF($D:$D,H52,$J:$J)</f>
        <v>30344</v>
      </c>
      <c r="L52" s="13"/>
      <c r="M52" s="29"/>
      <c r="N52" s="43"/>
      <c r="O52" s="43"/>
    </row>
    <row r="53" spans="2:15" ht="15" thickBot="1" x14ac:dyDescent="0.35">
      <c r="B53" s="16" t="s">
        <v>2</v>
      </c>
      <c r="C53" s="17"/>
      <c r="D53" s="14">
        <f>SUM(D46:F52)</f>
        <v>97794</v>
      </c>
      <c r="E53" s="15"/>
      <c r="F53" s="30"/>
      <c r="G53" s="38"/>
      <c r="H53" s="5"/>
      <c r="I53" s="6"/>
      <c r="J53" s="41"/>
      <c r="K53" s="14">
        <f>SUM(K45)</f>
        <v>97794</v>
      </c>
      <c r="L53" s="15"/>
      <c r="M53" s="30"/>
      <c r="O53" s="44">
        <f>K53-D53</f>
        <v>0</v>
      </c>
    </row>
  </sheetData>
  <mergeCells count="37">
    <mergeCell ref="H44:J44"/>
    <mergeCell ref="N48:O48"/>
    <mergeCell ref="N47:O47"/>
    <mergeCell ref="N46:O46"/>
    <mergeCell ref="H52:J52"/>
    <mergeCell ref="H51:J51"/>
    <mergeCell ref="H50:J50"/>
    <mergeCell ref="H49:J49"/>
    <mergeCell ref="H48:J48"/>
    <mergeCell ref="H47:J47"/>
    <mergeCell ref="H46:J46"/>
    <mergeCell ref="K51:M51"/>
    <mergeCell ref="N52:O52"/>
    <mergeCell ref="N51:O51"/>
    <mergeCell ref="N50:O50"/>
    <mergeCell ref="N49:O49"/>
    <mergeCell ref="K44:M44"/>
    <mergeCell ref="K47:M47"/>
    <mergeCell ref="K48:M48"/>
    <mergeCell ref="D51:F51"/>
    <mergeCell ref="D47:F47"/>
    <mergeCell ref="D48:F48"/>
    <mergeCell ref="D49:F49"/>
    <mergeCell ref="D44:F44"/>
    <mergeCell ref="D45:F45"/>
    <mergeCell ref="K45:M45"/>
    <mergeCell ref="D46:F46"/>
    <mergeCell ref="K46:M46"/>
    <mergeCell ref="D50:F50"/>
    <mergeCell ref="K50:M50"/>
    <mergeCell ref="K49:M49"/>
    <mergeCell ref="H45:J45"/>
    <mergeCell ref="D52:F52"/>
    <mergeCell ref="K52:M52"/>
    <mergeCell ref="K53:M53"/>
    <mergeCell ref="B53:C53"/>
    <mergeCell ref="D53:F5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Budget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Lily Caldwell</dc:creator>
  <cp:lastModifiedBy>Lily Caldwell</cp:lastModifiedBy>
  <dcterms:created xsi:type="dcterms:W3CDTF">2026-02-19T10:10:02Z</dcterms:created>
  <dcterms:modified xsi:type="dcterms:W3CDTF">2026-02-20T10:07:42Z</dcterms:modified>
</cp:coreProperties>
</file>