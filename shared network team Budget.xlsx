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lya\Desktop\"/>
    </mc:Choice>
  </mc:AlternateContent>
  <xr:revisionPtr revIDLastSave="0" documentId="8_{35961FF0-D291-4079-AC07-C1A9E9AC6ED7}" xr6:coauthVersionLast="47" xr6:coauthVersionMax="47" xr10:uidLastSave="{00000000-0000-0000-0000-000000000000}"/>
  <bookViews>
    <workbookView xWindow="-120" yWindow="-120" windowWidth="29040" windowHeight="17520" xr2:uid="{58261409-75FE-4CCD-BF1A-46427F60D179}"/>
  </bookViews>
  <sheets>
    <sheet name="Budget she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E38" i="1"/>
  <c r="E3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5" i="1"/>
  <c r="B4" i="1"/>
  <c r="B3" i="1"/>
  <c r="E37" i="1"/>
  <c r="E36" i="1"/>
  <c r="E35" i="1"/>
  <c r="E34" i="1"/>
  <c r="E32" i="1"/>
  <c r="H39" i="1"/>
  <c r="H31" i="1"/>
  <c r="H42" i="1" l="1"/>
  <c r="E31" i="1" l="1"/>
  <c r="E41" i="1"/>
  <c r="E39" i="1"/>
  <c r="E42" i="1"/>
</calcChain>
</file>

<file path=xl/sharedStrings.xml><?xml version="1.0" encoding="utf-8"?>
<sst xmlns="http://schemas.openxmlformats.org/spreadsheetml/2006/main" count="42" uniqueCount="23">
  <si>
    <t>Accounting code</t>
  </si>
  <si>
    <t>Accounting code description</t>
  </si>
  <si>
    <t>IT &amp; Telecom equipment, Satellite comm. Costs</t>
  </si>
  <si>
    <t xml:space="preserve">TOTAL </t>
  </si>
  <si>
    <t>Acc. code</t>
  </si>
  <si>
    <t>Acc. Code description</t>
  </si>
  <si>
    <t>Cost Center</t>
  </si>
  <si>
    <t>Qty</t>
  </si>
  <si>
    <t>Unit Price</t>
  </si>
  <si>
    <t>Currency</t>
  </si>
  <si>
    <t>Total (EUR)</t>
  </si>
  <si>
    <t>Comment</t>
  </si>
  <si>
    <t>IT - equipment - routers</t>
  </si>
  <si>
    <t>IT- equipment - switches</t>
  </si>
  <si>
    <t>IT - equipment - periphery (telephony and printers)</t>
  </si>
  <si>
    <t>IT - equipment - cables etc</t>
  </si>
  <si>
    <t>IT - equipment - end users (computers and laptops)</t>
  </si>
  <si>
    <t>IT - equipment - servers</t>
  </si>
  <si>
    <t>Other security measures</t>
  </si>
  <si>
    <t>network1</t>
  </si>
  <si>
    <t>Description Name</t>
  </si>
  <si>
    <t>SW-1</t>
  </si>
  <si>
    <t>IT equipment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</si>
</sst>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F_-;\-* #,##0.00\ _F_-;_-* &quot;-&quot;??\ _F_-;_-@_-"/>
    <numFmt numFmtId="165" formatCode="#,##0_ ;\-#,##0\ 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Calibri"/>
      <family val="2"/>
    </font>
    <font>
      <sz val="10"/>
      <color theme="0"/>
      <name val="Arial"/>
      <family val="2"/>
    </font>
    <font>
      <sz val="10"/>
      <name val="Calibri"/>
      <family val="2"/>
    </font>
    <font>
      <b/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  <bgColor indexed="24"/>
      </patternFill>
    </fill>
    <fill>
      <patternFill patternType="solid">
        <fgColor theme="0"/>
        <bgColor indexed="24"/>
      </patternFill>
    </fill>
    <fill>
      <patternFill patternType="solid">
        <fgColor rgb="FFFF9966"/>
        <bgColor indexed="2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2" fillId="0" borderId="0"/>
    <xf numFmtId="0" fontId="1" fillId="0" borderId="0"/>
    <xf numFmtId="164" fontId="2" fillId="0" borderId="0" applyFont="0" applyFill="0" applyBorder="0" applyAlignment="0" applyProtection="0"/>
  </cellStyleXfs>
  <cellXfs count="37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0" xfId="2" applyFont="1"/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3" fillId="2" borderId="5" xfId="1" applyFont="1" applyFill="1" applyBorder="1" applyAlignment="1">
      <alignment horizontal="center" vertical="center" wrapText="1"/>
    </xf>
    <xf numFmtId="3" fontId="3" fillId="2" borderId="4" xfId="1" applyNumberFormat="1" applyFont="1" applyFill="1" applyBorder="1" applyAlignment="1">
      <alignment horizontal="center" vertical="center" wrapText="1"/>
    </xf>
    <xf numFmtId="3" fontId="3" fillId="2" borderId="6" xfId="1" applyNumberFormat="1" applyFont="1" applyFill="1" applyBorder="1" applyAlignment="1">
      <alignment horizontal="center" vertical="center" wrapText="1"/>
    </xf>
    <xf numFmtId="0" fontId="5" fillId="3" borderId="10" xfId="1" applyFont="1" applyFill="1" applyBorder="1" applyAlignment="1">
      <alignment horizontal="center"/>
    </xf>
    <xf numFmtId="0" fontId="5" fillId="3" borderId="11" xfId="1" applyFont="1" applyFill="1" applyBorder="1" applyAlignment="1">
      <alignment horizontal="left"/>
    </xf>
    <xf numFmtId="165" fontId="5" fillId="3" borderId="12" xfId="3" applyNumberFormat="1" applyFont="1" applyFill="1" applyBorder="1" applyAlignment="1" applyProtection="1">
      <alignment horizontal="center"/>
    </xf>
    <xf numFmtId="165" fontId="5" fillId="3" borderId="13" xfId="3" applyNumberFormat="1" applyFont="1" applyFill="1" applyBorder="1" applyAlignment="1" applyProtection="1">
      <alignment horizontal="center"/>
    </xf>
    <xf numFmtId="165" fontId="5" fillId="3" borderId="14" xfId="3" applyNumberFormat="1" applyFont="1" applyFill="1" applyBorder="1" applyAlignment="1" applyProtection="1">
      <alignment horizontal="center"/>
    </xf>
    <xf numFmtId="3" fontId="5" fillId="3" borderId="13" xfId="3" applyNumberFormat="1" applyFont="1" applyFill="1" applyBorder="1" applyAlignment="1" applyProtection="1">
      <alignment horizontal="center"/>
    </xf>
    <xf numFmtId="3" fontId="5" fillId="3" borderId="11" xfId="3" applyNumberFormat="1" applyFont="1" applyFill="1" applyBorder="1" applyAlignment="1" applyProtection="1">
      <alignment horizontal="center"/>
    </xf>
    <xf numFmtId="0" fontId="3" fillId="2" borderId="12" xfId="1" applyFont="1" applyFill="1" applyBorder="1" applyAlignment="1">
      <alignment horizontal="left"/>
    </xf>
    <xf numFmtId="0" fontId="3" fillId="2" borderId="11" xfId="1" applyFont="1" applyFill="1" applyBorder="1"/>
    <xf numFmtId="165" fontId="3" fillId="2" borderId="12" xfId="3" applyNumberFormat="1" applyFont="1" applyFill="1" applyBorder="1" applyAlignment="1" applyProtection="1">
      <alignment horizontal="center"/>
    </xf>
    <xf numFmtId="165" fontId="3" fillId="2" borderId="13" xfId="3" applyNumberFormat="1" applyFont="1" applyFill="1" applyBorder="1" applyAlignment="1" applyProtection="1">
      <alignment horizontal="center"/>
    </xf>
    <xf numFmtId="165" fontId="3" fillId="2" borderId="14" xfId="3" applyNumberFormat="1" applyFont="1" applyFill="1" applyBorder="1" applyAlignment="1" applyProtection="1">
      <alignment horizontal="center"/>
    </xf>
    <xf numFmtId="0" fontId="3" fillId="4" borderId="3" xfId="1" applyFont="1" applyFill="1" applyBorder="1" applyAlignment="1">
      <alignment horizontal="center" vertical="center"/>
    </xf>
    <xf numFmtId="0" fontId="3" fillId="4" borderId="6" xfId="1" applyFont="1" applyFill="1" applyBorder="1" applyAlignment="1">
      <alignment horizontal="center" vertical="center"/>
    </xf>
    <xf numFmtId="165" fontId="3" fillId="4" borderId="3" xfId="3" applyNumberFormat="1" applyFont="1" applyFill="1" applyBorder="1" applyAlignment="1" applyProtection="1">
      <alignment horizontal="center" vertical="center"/>
    </xf>
    <xf numFmtId="165" fontId="3" fillId="4" borderId="4" xfId="3" applyNumberFormat="1" applyFont="1" applyFill="1" applyBorder="1" applyAlignment="1" applyProtection="1">
      <alignment horizontal="center" vertical="center"/>
    </xf>
    <xf numFmtId="165" fontId="3" fillId="4" borderId="5" xfId="3" applyNumberFormat="1" applyFont="1" applyFill="1" applyBorder="1" applyAlignment="1" applyProtection="1">
      <alignment horizontal="center" vertical="center"/>
    </xf>
    <xf numFmtId="3" fontId="5" fillId="3" borderId="13" xfId="3" applyNumberFormat="1" applyFont="1" applyFill="1" applyBorder="1" applyAlignment="1" applyProtection="1">
      <alignment horizontal="center"/>
    </xf>
    <xf numFmtId="3" fontId="5" fillId="3" borderId="11" xfId="3" applyNumberFormat="1" applyFont="1" applyFill="1" applyBorder="1" applyAlignment="1" applyProtection="1">
      <alignment horizontal="center"/>
    </xf>
    <xf numFmtId="0" fontId="6" fillId="0" borderId="0" xfId="0" applyFont="1"/>
    <xf numFmtId="0" fontId="6" fillId="0" borderId="16" xfId="0" applyFont="1" applyBorder="1"/>
    <xf numFmtId="0" fontId="6" fillId="0" borderId="17" xfId="0" applyFont="1" applyBorder="1"/>
    <xf numFmtId="0" fontId="6" fillId="0" borderId="18" xfId="0" applyFont="1" applyBorder="1"/>
    <xf numFmtId="0" fontId="0" fillId="0" borderId="15" xfId="0" applyBorder="1"/>
    <xf numFmtId="165" fontId="3" fillId="2" borderId="7" xfId="3" applyNumberFormat="1" applyFont="1" applyFill="1" applyBorder="1" applyAlignment="1" applyProtection="1">
      <alignment horizontal="center"/>
    </xf>
    <xf numFmtId="165" fontId="3" fillId="2" borderId="8" xfId="3" applyNumberFormat="1" applyFont="1" applyFill="1" applyBorder="1" applyAlignment="1" applyProtection="1">
      <alignment horizontal="center"/>
    </xf>
    <xf numFmtId="165" fontId="3" fillId="2" borderId="9" xfId="3" applyNumberFormat="1" applyFont="1" applyFill="1" applyBorder="1" applyAlignment="1" applyProtection="1">
      <alignment horizontal="center"/>
    </xf>
    <xf numFmtId="0" fontId="6" fillId="0" borderId="17" xfId="0" applyFont="1" applyBorder="1" applyAlignment="1">
      <alignment wrapText="1"/>
    </xf>
  </cellXfs>
  <cellStyles count="4">
    <cellStyle name="Comma 2 3" xfId="3" xr:uid="{813095FF-7F44-43B3-8E3E-7506F53FA7FF}"/>
    <cellStyle name="Normal" xfId="0" builtinId="0"/>
    <cellStyle name="Normal 2" xfId="2" xr:uid="{8B7671C3-94A6-4E20-B253-D4D5EBEC7ED3}"/>
    <cellStyle name="Normal 3" xfId="1" xr:uid="{520D4722-4DD0-4BB5-9565-FC9386ABC2E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A4627-C2A2-4924-A3A7-17B2D83EA8DD}">
  <dimension ref="A1:L42"/>
  <sheetViews>
    <sheetView tabSelected="1" topLeftCell="A2" workbookViewId="0">
      <selection activeCell="B7" sqref="B7"/>
    </sheetView>
  </sheetViews>
  <sheetFormatPr defaultRowHeight="14.4" x14ac:dyDescent="0.3"/>
  <cols>
    <col min="1" max="1" width="11.77734375" bestFit="1" customWidth="1"/>
    <col min="2" max="2" width="42.77734375" bestFit="1" customWidth="1"/>
    <col min="3" max="3" width="21.109375" customWidth="1"/>
    <col min="4" max="4" width="14.44140625" bestFit="1" customWidth="1"/>
    <col min="5" max="5" width="4" customWidth="1"/>
    <col min="6" max="6" width="9.33203125" customWidth="1"/>
    <col min="7" max="7" width="11.5546875" customWidth="1"/>
    <col min="8" max="8" width="11.77734375" hidden="1" customWidth="1"/>
    <col min="9" max="9" width="14.33203125" customWidth="1"/>
    <col min="10" max="10" width="3.109375" customWidth="1"/>
    <col min="11" max="11" width="55.6640625" customWidth="1"/>
  </cols>
  <sheetData>
    <row r="1" spans="1:12" ht="15" thickBot="1" x14ac:dyDescent="0.35"/>
    <row r="2" spans="1:12" s="28" customFormat="1" ht="48" customHeight="1" x14ac:dyDescent="0.35">
      <c r="A2" s="29" t="s">
        <v>4</v>
      </c>
      <c r="B2" s="30" t="s">
        <v>5</v>
      </c>
      <c r="C2" s="30" t="s">
        <v>6</v>
      </c>
      <c r="D2" s="36" t="s">
        <v>20</v>
      </c>
      <c r="E2" s="30"/>
      <c r="F2" s="30" t="s">
        <v>7</v>
      </c>
      <c r="G2" s="30" t="s">
        <v>8</v>
      </c>
      <c r="H2" s="30" t="s">
        <v>9</v>
      </c>
      <c r="I2" s="30" t="s">
        <v>10</v>
      </c>
      <c r="J2" s="30"/>
      <c r="K2" s="30" t="s">
        <v>11</v>
      </c>
      <c r="L2" s="31"/>
    </row>
    <row r="3" spans="1:12" x14ac:dyDescent="0.3">
      <c r="A3" s="32"/>
      <c r="B3" s="32" t="e">
        <f>LOOKUP(A3,$B$32:$B$38,$C$32:$C$38)</f>
        <v>#N/A</v>
      </c>
      <c r="C3" s="32" t="s">
        <v>19</v>
      </c>
      <c r="D3" s="32"/>
      <c r="E3" s="32"/>
      <c r="F3" s="32"/>
      <c r="G3" s="32"/>
      <c r="H3" s="32"/>
      <c r="I3" s="32"/>
      <c r="J3" s="32"/>
      <c r="K3" s="32"/>
      <c r="L3" s="32"/>
    </row>
    <row r="4" spans="1:12" x14ac:dyDescent="0.3">
      <c r="A4" s="32"/>
      <c r="B4" s="32" t="e">
        <f t="shared" ref="B4:B22" si="0">LOOKUP(A4,$B$32:$B$38,$C$32:$C$38)</f>
        <v>#N/A</v>
      </c>
      <c r="C4" s="32" t="s">
        <v>19</v>
      </c>
      <c r="D4" s="32"/>
      <c r="E4" s="32"/>
      <c r="F4" s="32"/>
      <c r="G4" s="32"/>
      <c r="H4" s="32"/>
      <c r="I4" s="32"/>
      <c r="J4" s="32"/>
      <c r="K4" s="32"/>
      <c r="L4" s="32"/>
    </row>
    <row r="5" spans="1:12" x14ac:dyDescent="0.3">
      <c r="A5" s="32"/>
      <c r="B5" s="32" t="e">
        <f t="shared" si="0"/>
        <v>#N/A</v>
      </c>
      <c r="C5" s="32" t="s">
        <v>19</v>
      </c>
      <c r="D5" s="32"/>
      <c r="E5" s="32"/>
      <c r="F5" s="32"/>
      <c r="G5" s="32"/>
      <c r="H5" s="32"/>
      <c r="I5" s="32"/>
      <c r="J5" s="32"/>
      <c r="K5" s="32"/>
      <c r="L5" s="32"/>
    </row>
    <row r="6" spans="1:12" x14ac:dyDescent="0.3">
      <c r="A6" s="32">
        <v>11000</v>
      </c>
      <c r="B6" s="32" t="str">
        <f>LOOKUP(A6,$B$32:$B$38,$C$32:$C$38)</f>
        <v>IT- equipment - switches</v>
      </c>
      <c r="C6" s="32" t="s">
        <v>19</v>
      </c>
      <c r="D6" s="32" t="s">
        <v>21</v>
      </c>
      <c r="E6" s="32"/>
      <c r="F6" s="32">
        <v>1</v>
      </c>
      <c r="G6" s="32"/>
      <c r="H6" s="32"/>
      <c r="I6" s="32">
        <v>3000</v>
      </c>
      <c r="J6" s="32"/>
      <c r="K6" s="32"/>
      <c r="L6" s="32"/>
    </row>
    <row r="7" spans="1:12" x14ac:dyDescent="0.3">
      <c r="A7" s="32"/>
      <c r="B7" s="32" t="e">
        <f t="shared" si="0"/>
        <v>#N/A</v>
      </c>
      <c r="C7" s="32" t="s">
        <v>19</v>
      </c>
      <c r="D7" s="32"/>
      <c r="E7" s="32"/>
      <c r="F7" s="32"/>
      <c r="G7" s="32"/>
      <c r="H7" s="32"/>
      <c r="I7" s="32"/>
      <c r="J7" s="32"/>
      <c r="K7" s="32"/>
      <c r="L7" s="32"/>
    </row>
    <row r="8" spans="1:12" x14ac:dyDescent="0.3">
      <c r="A8" s="32"/>
      <c r="B8" s="32" t="e">
        <f t="shared" si="0"/>
        <v>#N/A</v>
      </c>
      <c r="C8" s="32" t="s">
        <v>19</v>
      </c>
      <c r="D8" s="32"/>
      <c r="E8" s="32"/>
      <c r="F8" s="32"/>
      <c r="G8" s="32"/>
      <c r="H8" s="32"/>
      <c r="I8" s="32"/>
      <c r="J8" s="32"/>
      <c r="K8" s="32"/>
      <c r="L8" s="32"/>
    </row>
    <row r="9" spans="1:12" x14ac:dyDescent="0.3">
      <c r="A9" s="32"/>
      <c r="B9" s="32" t="e">
        <f t="shared" si="0"/>
        <v>#N/A</v>
      </c>
      <c r="C9" s="32" t="s">
        <v>19</v>
      </c>
      <c r="D9" s="32"/>
      <c r="E9" s="32"/>
      <c r="F9" s="32"/>
      <c r="G9" s="32"/>
      <c r="H9" s="32"/>
      <c r="I9" s="32"/>
      <c r="J9" s="32"/>
      <c r="K9" s="32"/>
      <c r="L9" s="32"/>
    </row>
    <row r="10" spans="1:12" x14ac:dyDescent="0.3">
      <c r="A10" s="32"/>
      <c r="B10" s="32" t="e">
        <f t="shared" si="0"/>
        <v>#N/A</v>
      </c>
      <c r="C10" s="32" t="s">
        <v>19</v>
      </c>
      <c r="D10" s="32"/>
      <c r="E10" s="32"/>
      <c r="F10" s="32"/>
      <c r="G10" s="32"/>
      <c r="H10" s="32"/>
      <c r="I10" s="32"/>
      <c r="J10" s="32"/>
      <c r="K10" s="32"/>
      <c r="L10" s="32"/>
    </row>
    <row r="11" spans="1:12" x14ac:dyDescent="0.3">
      <c r="A11" s="32"/>
      <c r="B11" s="32" t="e">
        <f t="shared" si="0"/>
        <v>#N/A</v>
      </c>
      <c r="C11" s="32" t="s">
        <v>19</v>
      </c>
      <c r="D11" s="32"/>
      <c r="E11" s="32"/>
      <c r="F11" s="32"/>
      <c r="G11" s="32"/>
      <c r="H11" s="32"/>
      <c r="I11" s="32"/>
      <c r="J11" s="32"/>
      <c r="K11" s="32"/>
      <c r="L11" s="32"/>
    </row>
    <row r="12" spans="1:12" x14ac:dyDescent="0.3">
      <c r="A12" s="32"/>
      <c r="B12" s="32" t="e">
        <f t="shared" si="0"/>
        <v>#N/A</v>
      </c>
      <c r="C12" s="32" t="s">
        <v>19</v>
      </c>
      <c r="D12" s="32"/>
      <c r="E12" s="32"/>
      <c r="F12" s="32"/>
      <c r="G12" s="32"/>
      <c r="H12" s="32"/>
      <c r="I12" s="32"/>
      <c r="J12" s="32"/>
      <c r="K12" s="32"/>
      <c r="L12" s="32"/>
    </row>
    <row r="13" spans="1:12" x14ac:dyDescent="0.3">
      <c r="A13" s="32"/>
      <c r="B13" s="32" t="e">
        <f t="shared" si="0"/>
        <v>#N/A</v>
      </c>
      <c r="C13" s="32" t="s">
        <v>19</v>
      </c>
      <c r="D13" s="32"/>
      <c r="E13" s="32"/>
      <c r="F13" s="32"/>
      <c r="G13" s="32"/>
      <c r="H13" s="32"/>
      <c r="I13" s="32"/>
      <c r="J13" s="32"/>
      <c r="K13" s="32"/>
      <c r="L13" s="32"/>
    </row>
    <row r="14" spans="1:12" x14ac:dyDescent="0.3">
      <c r="A14" s="32"/>
      <c r="B14" s="32" t="e">
        <f t="shared" si="0"/>
        <v>#N/A</v>
      </c>
      <c r="C14" s="32" t="s">
        <v>19</v>
      </c>
      <c r="D14" s="32"/>
      <c r="E14" s="32"/>
      <c r="F14" s="32"/>
      <c r="G14" s="32"/>
      <c r="H14" s="32"/>
      <c r="I14" s="32"/>
      <c r="J14" s="32"/>
      <c r="K14" s="32"/>
      <c r="L14" s="32"/>
    </row>
    <row r="15" spans="1:12" x14ac:dyDescent="0.3">
      <c r="A15" s="32"/>
      <c r="B15" s="32" t="e">
        <f t="shared" si="0"/>
        <v>#N/A</v>
      </c>
      <c r="C15" s="32" t="s">
        <v>19</v>
      </c>
      <c r="D15" s="32"/>
      <c r="E15" s="32"/>
      <c r="F15" s="32"/>
      <c r="G15" s="32"/>
      <c r="H15" s="32"/>
      <c r="I15" s="32"/>
      <c r="J15" s="32"/>
      <c r="K15" s="32"/>
      <c r="L15" s="32"/>
    </row>
    <row r="16" spans="1:12" x14ac:dyDescent="0.3">
      <c r="A16" s="32"/>
      <c r="B16" s="32" t="e">
        <f t="shared" si="0"/>
        <v>#N/A</v>
      </c>
      <c r="C16" s="32" t="s">
        <v>19</v>
      </c>
      <c r="D16" s="32"/>
      <c r="E16" s="32"/>
      <c r="F16" s="32"/>
      <c r="G16" s="32"/>
      <c r="H16" s="32"/>
      <c r="I16" s="32"/>
      <c r="J16" s="32"/>
      <c r="K16" s="32"/>
      <c r="L16" s="32"/>
    </row>
    <row r="17" spans="1:12" x14ac:dyDescent="0.3">
      <c r="A17" s="32"/>
      <c r="B17" s="32" t="e">
        <f t="shared" si="0"/>
        <v>#N/A</v>
      </c>
      <c r="C17" s="32" t="s">
        <v>19</v>
      </c>
      <c r="D17" s="32"/>
      <c r="E17" s="32"/>
      <c r="F17" s="32"/>
      <c r="G17" s="32"/>
      <c r="H17" s="32"/>
      <c r="I17" s="32"/>
      <c r="J17" s="32"/>
      <c r="K17" s="32"/>
      <c r="L17" s="32"/>
    </row>
    <row r="18" spans="1:12" x14ac:dyDescent="0.3">
      <c r="A18" s="32"/>
      <c r="B18" s="32" t="e">
        <f t="shared" si="0"/>
        <v>#N/A</v>
      </c>
      <c r="C18" s="32" t="s">
        <v>19</v>
      </c>
      <c r="D18" s="32"/>
      <c r="E18" s="32"/>
      <c r="F18" s="32"/>
      <c r="G18" s="32"/>
      <c r="H18" s="32"/>
      <c r="I18" s="32"/>
      <c r="J18" s="32"/>
      <c r="K18" s="32"/>
      <c r="L18" s="32"/>
    </row>
    <row r="19" spans="1:12" x14ac:dyDescent="0.3">
      <c r="A19" s="32"/>
      <c r="B19" s="32" t="e">
        <f t="shared" si="0"/>
        <v>#N/A</v>
      </c>
      <c r="C19" s="32" t="s">
        <v>19</v>
      </c>
      <c r="D19" s="32"/>
      <c r="E19" s="32"/>
      <c r="F19" s="32"/>
      <c r="G19" s="32"/>
      <c r="H19" s="32"/>
      <c r="I19" s="32"/>
      <c r="J19" s="32"/>
      <c r="K19" s="32"/>
      <c r="L19" s="32"/>
    </row>
    <row r="20" spans="1:12" x14ac:dyDescent="0.3">
      <c r="A20" s="32"/>
      <c r="B20" s="32" t="e">
        <f t="shared" si="0"/>
        <v>#N/A</v>
      </c>
      <c r="C20" s="32" t="s">
        <v>19</v>
      </c>
      <c r="D20" s="32"/>
      <c r="E20" s="32"/>
      <c r="F20" s="32"/>
      <c r="G20" s="32"/>
      <c r="H20" s="32"/>
      <c r="I20" s="32"/>
      <c r="J20" s="32"/>
      <c r="K20" s="32"/>
      <c r="L20" s="32"/>
    </row>
    <row r="21" spans="1:12" x14ac:dyDescent="0.3">
      <c r="A21" s="32"/>
      <c r="B21" s="32" t="e">
        <f t="shared" si="0"/>
        <v>#N/A</v>
      </c>
      <c r="C21" s="32" t="s">
        <v>19</v>
      </c>
      <c r="D21" s="32"/>
      <c r="E21" s="32"/>
      <c r="F21" s="32"/>
      <c r="G21" s="32"/>
      <c r="H21" s="32"/>
      <c r="I21" s="32"/>
      <c r="J21" s="32"/>
      <c r="K21" s="32"/>
      <c r="L21" s="32"/>
    </row>
    <row r="22" spans="1:12" x14ac:dyDescent="0.3">
      <c r="A22" s="32"/>
      <c r="B22" s="32" t="e">
        <f t="shared" si="0"/>
        <v>#N/A</v>
      </c>
      <c r="C22" s="32" t="s">
        <v>19</v>
      </c>
      <c r="D22" s="32"/>
      <c r="E22" s="32"/>
      <c r="F22" s="32"/>
      <c r="G22" s="32"/>
      <c r="H22" s="32"/>
      <c r="I22" s="32"/>
      <c r="J22" s="32"/>
      <c r="K22" s="32"/>
      <c r="L22" s="32"/>
    </row>
    <row r="29" spans="1:12" ht="15" thickBot="1" x14ac:dyDescent="0.35"/>
    <row r="30" spans="1:12" ht="29.4" thickBot="1" x14ac:dyDescent="0.35">
      <c r="B30" s="1" t="s">
        <v>0</v>
      </c>
      <c r="C30" s="2" t="s">
        <v>1</v>
      </c>
      <c r="D30" s="3"/>
      <c r="E30" s="4"/>
      <c r="F30" s="5"/>
      <c r="G30" s="6"/>
      <c r="H30" s="7"/>
      <c r="I30" s="7"/>
      <c r="J30" s="8"/>
    </row>
    <row r="31" spans="1:12" x14ac:dyDescent="0.3">
      <c r="B31" s="16" t="s">
        <v>22</v>
      </c>
      <c r="C31" s="17"/>
      <c r="D31" s="3"/>
      <c r="E31" s="33">
        <f>SUM(E32:G38)</f>
        <v>3000</v>
      </c>
      <c r="F31" s="34"/>
      <c r="G31" s="35"/>
      <c r="H31" s="33">
        <f>SUM(H32:J38)</f>
        <v>0</v>
      </c>
      <c r="I31" s="34"/>
      <c r="J31" s="35"/>
    </row>
    <row r="32" spans="1:12" x14ac:dyDescent="0.3">
      <c r="B32" s="9">
        <v>10000</v>
      </c>
      <c r="C32" s="10" t="s">
        <v>12</v>
      </c>
      <c r="D32" s="3"/>
      <c r="E32" s="11">
        <f>SUMIF($A:$A,$B32,$J:$J)</f>
        <v>0</v>
      </c>
      <c r="F32" s="12"/>
      <c r="G32" s="13"/>
      <c r="H32" s="14"/>
      <c r="I32" s="14"/>
      <c r="J32" s="15"/>
    </row>
    <row r="33" spans="2:10" x14ac:dyDescent="0.3">
      <c r="B33" s="9">
        <v>11000</v>
      </c>
      <c r="C33" s="10" t="s">
        <v>13</v>
      </c>
      <c r="D33" s="3"/>
      <c r="E33" s="11">
        <f>SUMIF($A:$A,$B33,$I:$I)</f>
        <v>3000</v>
      </c>
      <c r="F33" s="12"/>
      <c r="G33" s="13"/>
      <c r="H33" s="26"/>
      <c r="I33" s="26"/>
      <c r="J33" s="27"/>
    </row>
    <row r="34" spans="2:10" x14ac:dyDescent="0.3">
      <c r="B34" s="9">
        <v>12000</v>
      </c>
      <c r="C34" s="10" t="s">
        <v>14</v>
      </c>
      <c r="D34" s="3"/>
      <c r="E34" s="11">
        <f>SUMIF($A:$A,$B34,$J:$J)</f>
        <v>0</v>
      </c>
      <c r="F34" s="12"/>
      <c r="G34" s="13"/>
      <c r="H34" s="26"/>
      <c r="I34" s="26"/>
      <c r="J34" s="27"/>
    </row>
    <row r="35" spans="2:10" x14ac:dyDescent="0.3">
      <c r="B35" s="9">
        <v>13000</v>
      </c>
      <c r="C35" s="10" t="s">
        <v>16</v>
      </c>
      <c r="D35" s="3"/>
      <c r="E35" s="11">
        <f>SUMIF($A:$A,$B35,$J:$J)</f>
        <v>0</v>
      </c>
      <c r="F35" s="12"/>
      <c r="G35" s="13"/>
      <c r="H35" s="26"/>
      <c r="I35" s="26"/>
      <c r="J35" s="27"/>
    </row>
    <row r="36" spans="2:10" x14ac:dyDescent="0.3">
      <c r="B36" s="9">
        <v>14000</v>
      </c>
      <c r="C36" s="10" t="s">
        <v>15</v>
      </c>
      <c r="D36" s="3"/>
      <c r="E36" s="11">
        <f>SUMIF($A:$A,$B36,$J:$J)</f>
        <v>0</v>
      </c>
      <c r="F36" s="12"/>
      <c r="G36" s="13"/>
      <c r="H36" s="14"/>
      <c r="I36" s="14"/>
      <c r="J36" s="15"/>
    </row>
    <row r="37" spans="2:10" x14ac:dyDescent="0.3">
      <c r="B37" s="9">
        <v>15000</v>
      </c>
      <c r="C37" s="10" t="s">
        <v>17</v>
      </c>
      <c r="D37" s="3"/>
      <c r="E37" s="11">
        <f>SUMIF($A:$A,$B37,$J:$J)</f>
        <v>0</v>
      </c>
      <c r="F37" s="12"/>
      <c r="G37" s="13"/>
      <c r="H37" s="26"/>
      <c r="I37" s="26"/>
      <c r="J37" s="27"/>
    </row>
    <row r="38" spans="2:10" x14ac:dyDescent="0.3">
      <c r="B38" s="9">
        <v>15000</v>
      </c>
      <c r="C38" s="10" t="s">
        <v>18</v>
      </c>
      <c r="D38" s="3"/>
      <c r="E38" s="11">
        <f>SUMIF($A:$A,$B38,$I:$I)</f>
        <v>0</v>
      </c>
      <c r="F38" s="12"/>
      <c r="G38" s="13"/>
      <c r="H38" s="14"/>
      <c r="I38" s="14"/>
      <c r="J38" s="15"/>
    </row>
    <row r="39" spans="2:10" x14ac:dyDescent="0.3">
      <c r="B39" s="16" t="s">
        <v>2</v>
      </c>
      <c r="C39" s="17"/>
      <c r="D39" s="3"/>
      <c r="E39" s="18">
        <f ca="1">SUM(E40:G41)</f>
        <v>0</v>
      </c>
      <c r="F39" s="19"/>
      <c r="G39" s="20"/>
      <c r="H39" s="18">
        <f>SUM(H40:J41)</f>
        <v>0</v>
      </c>
      <c r="I39" s="19"/>
      <c r="J39" s="20"/>
    </row>
    <row r="40" spans="2:10" x14ac:dyDescent="0.3">
      <c r="B40" s="9"/>
      <c r="C40" s="10"/>
      <c r="D40" s="3"/>
      <c r="E40" s="11"/>
      <c r="F40" s="12"/>
      <c r="G40" s="13"/>
      <c r="H40" s="14"/>
      <c r="I40" s="14"/>
      <c r="J40" s="15"/>
    </row>
    <row r="41" spans="2:10" ht="15" thickBot="1" x14ac:dyDescent="0.35">
      <c r="B41" s="9"/>
      <c r="C41" s="10"/>
      <c r="D41" s="3"/>
      <c r="E41" s="11">
        <f ca="1">SUMIF($B:$B,$E41,#REF!)</f>
        <v>0</v>
      </c>
      <c r="F41" s="12"/>
      <c r="G41" s="13"/>
      <c r="H41" s="14"/>
      <c r="I41" s="14"/>
      <c r="J41" s="15"/>
    </row>
    <row r="42" spans="2:10" ht="15" thickBot="1" x14ac:dyDescent="0.35">
      <c r="B42" s="21" t="s">
        <v>3</v>
      </c>
      <c r="C42" s="22"/>
      <c r="D42" s="3"/>
      <c r="E42" s="23">
        <f ca="1">SUM(E39+E31)</f>
        <v>0</v>
      </c>
      <c r="F42" s="24"/>
      <c r="G42" s="25"/>
      <c r="H42" s="23">
        <f>SUM(H39+H31)</f>
        <v>0</v>
      </c>
      <c r="I42" s="24"/>
      <c r="J42" s="25"/>
    </row>
  </sheetData>
  <mergeCells count="23">
    <mergeCell ref="E41:G41"/>
    <mergeCell ref="H41:J41"/>
    <mergeCell ref="H42:J42"/>
    <mergeCell ref="B42:C42"/>
    <mergeCell ref="E42:G42"/>
    <mergeCell ref="E38:G38"/>
    <mergeCell ref="H38:J38"/>
    <mergeCell ref="E39:G39"/>
    <mergeCell ref="H39:J39"/>
    <mergeCell ref="E40:G40"/>
    <mergeCell ref="H40:J40"/>
    <mergeCell ref="E31:G31"/>
    <mergeCell ref="H31:J31"/>
    <mergeCell ref="E32:G32"/>
    <mergeCell ref="H32:J32"/>
    <mergeCell ref="E36:G36"/>
    <mergeCell ref="H36:J36"/>
    <mergeCell ref="E37:G37"/>
    <mergeCell ref="E33:G33"/>
    <mergeCell ref="E34:G34"/>
    <mergeCell ref="E35:G35"/>
    <mergeCell ref="E30:G30"/>
    <mergeCell ref="H30:J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Budget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Lily Caldwell</dc:creator>
  <cp:lastModifiedBy>Lily Caldwell</cp:lastModifiedBy>
  <dcterms:created xsi:type="dcterms:W3CDTF">2026-02-19T10:10:02Z</dcterms:created>
  <dcterms:modified xsi:type="dcterms:W3CDTF">2026-02-19T10:39:02Z</dcterms:modified>
</cp:coreProperties>
</file>