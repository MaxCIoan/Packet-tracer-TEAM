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co\Desktop\"/>
    </mc:Choice>
  </mc:AlternateContent>
  <xr:revisionPtr revIDLastSave="0" documentId="13_ncr:1_{9F869597-8D16-4539-823D-149CDC47267B}" xr6:coauthVersionLast="47" xr6:coauthVersionMax="47" xr10:uidLastSave="{00000000-0000-0000-0000-000000000000}"/>
  <bookViews>
    <workbookView xWindow="-110" yWindow="-110" windowWidth="25820" windowHeight="13900" activeTab="1" xr2:uid="{146C052B-9DFD-40BE-AE44-EC9B9DA310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G2" i="2"/>
  <c r="F2" i="2"/>
  <c r="E2" i="2" s="1"/>
  <c r="D2" i="2" s="1"/>
  <c r="C2" i="2" s="1"/>
  <c r="G2" i="1"/>
  <c r="F2" i="1" s="1"/>
  <c r="E2" i="1" s="1"/>
  <c r="D2" i="1" s="1"/>
  <c r="C2" i="1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</calcChain>
</file>

<file path=xl/sharedStrings.xml><?xml version="1.0" encoding="utf-8"?>
<sst xmlns="http://schemas.openxmlformats.org/spreadsheetml/2006/main" count="323" uniqueCount="173">
  <si>
    <t># Hosts</t>
  </si>
  <si>
    <t>bits</t>
  </si>
  <si>
    <t>#bits</t>
  </si>
  <si>
    <t>Subnetting</t>
  </si>
  <si>
    <t>Network</t>
  </si>
  <si>
    <t>First IP Host</t>
  </si>
  <si>
    <t>Last IP Host</t>
  </si>
  <si>
    <t>Broadcast</t>
  </si>
  <si>
    <t>Subnet</t>
  </si>
  <si>
    <t>default gateway</t>
  </si>
  <si>
    <t>192.168.1.0/24</t>
  </si>
  <si>
    <t>subnet 0 30 hosts</t>
  </si>
  <si>
    <t>255.255.255.224</t>
  </si>
  <si>
    <t>192.168.1.32/27</t>
  </si>
  <si>
    <t>192.168.1.63/27</t>
  </si>
  <si>
    <t>192.168.1.1/27</t>
  </si>
  <si>
    <t>192.168.1.0/27</t>
  </si>
  <si>
    <t>192.168.1.31/27</t>
  </si>
  <si>
    <t>192.168.1.30/27</t>
  </si>
  <si>
    <t>255.255.255.240</t>
  </si>
  <si>
    <t>192.168.1.128/28</t>
  </si>
  <si>
    <t>192.168.1.129/28</t>
  </si>
  <si>
    <t>subnet 2</t>
  </si>
  <si>
    <t>subnet 3</t>
  </si>
  <si>
    <t>subnet 4</t>
  </si>
  <si>
    <t>192.168.1.142/28</t>
  </si>
  <si>
    <t>192.168.1.143/28</t>
  </si>
  <si>
    <t>block size</t>
  </si>
  <si>
    <t>192.168.1.64/27</t>
  </si>
  <si>
    <t>192.168.1.96/27</t>
  </si>
  <si>
    <t>192.168.1.128/27</t>
  </si>
  <si>
    <t>192.168.1.33/27</t>
  </si>
  <si>
    <t>192.168.1.65/27</t>
  </si>
  <si>
    <t>192.168.1.97/27</t>
  </si>
  <si>
    <t>192.168.1.129/27</t>
  </si>
  <si>
    <t>192.168.1.95/27</t>
  </si>
  <si>
    <t>192.168.1.127/27</t>
  </si>
  <si>
    <t>192.168.1.62/27</t>
  </si>
  <si>
    <t>192.168.1.94/27</t>
  </si>
  <si>
    <t>192.168.1.126/27</t>
  </si>
  <si>
    <t xml:space="preserve">subnet 1 </t>
  </si>
  <si>
    <t>192.168.1.144/28</t>
  </si>
  <si>
    <t>192.168.1.145/28</t>
  </si>
  <si>
    <t>192.168.1.158/28</t>
  </si>
  <si>
    <t>192.168.1.159/28</t>
  </si>
  <si>
    <t>192.168.1.158/27</t>
  </si>
  <si>
    <t>192.168.1.159/27</t>
  </si>
  <si>
    <t>subnet 5 - 1 14 hosts</t>
  </si>
  <si>
    <t>subnet 5 -2</t>
  </si>
  <si>
    <t>first ip</t>
  </si>
  <si>
    <t>last ip</t>
  </si>
  <si>
    <t>Subnet 1</t>
  </si>
  <si>
    <t>Subnet 2</t>
  </si>
  <si>
    <t>Subnet 3</t>
  </si>
  <si>
    <t>Subnet 4</t>
  </si>
  <si>
    <t>Subnet 5</t>
  </si>
  <si>
    <t>subnet mask</t>
  </si>
  <si>
    <t>Subnet 6 - 1</t>
  </si>
  <si>
    <t>Subnet 6 - 2</t>
  </si>
  <si>
    <t>192.168.1.0</t>
  </si>
  <si>
    <t>192.168.1.1</t>
  </si>
  <si>
    <t>Subnet 0</t>
  </si>
  <si>
    <t>226.198.34</t>
  </si>
  <si>
    <t>subnet 1</t>
  </si>
  <si>
    <t>192.168.1.33</t>
  </si>
  <si>
    <t>225.225.255.224</t>
  </si>
  <si>
    <t>192.168.1.98/28</t>
  </si>
  <si>
    <t>Hosts</t>
  </si>
  <si>
    <t>subnet 5</t>
  </si>
  <si>
    <t>subnet 6</t>
  </si>
  <si>
    <t>Mngtm Secretaria</t>
  </si>
  <si>
    <t>Study</t>
  </si>
  <si>
    <t>Production</t>
  </si>
  <si>
    <t>Support 1</t>
  </si>
  <si>
    <t>Support 2</t>
  </si>
  <si>
    <t>IT department</t>
  </si>
  <si>
    <t>Servers</t>
  </si>
  <si>
    <t>default gate way</t>
  </si>
  <si>
    <t>vlan 1</t>
  </si>
  <si>
    <t>vlan 99</t>
  </si>
  <si>
    <t>vlan 150</t>
  </si>
  <si>
    <t>PC0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</si>
  <si>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</si>
  <si>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</si>
  <si>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</si>
  <si>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</si>
  <si>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</si>
  <si>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</si>
  <si>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</si>
  <si>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</si>
  <si>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</si>
  <si>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</si>
  <si>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</si>
  <si>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192.168.1.0/28</t>
  </si>
  <si>
    <t>225.225.255.240</t>
  </si>
  <si>
    <t>192.168.1.1/28</t>
  </si>
  <si>
    <t>192.168.1.16/27</t>
  </si>
  <si>
    <t>192.168.1.47/27</t>
  </si>
  <si>
    <t>192.168.1.64/28</t>
  </si>
  <si>
    <t>192.168.1.96/28</t>
  </si>
  <si>
    <t>192.168.1.97/28</t>
  </si>
  <si>
    <t>192.168.1.65/28</t>
  </si>
  <si>
    <t>192.168.1.94/28</t>
  </si>
  <si>
    <t>192.168.1.126/28</t>
  </si>
  <si>
    <t>192.168.1.127/28</t>
  </si>
  <si>
    <t>192.168.1.95/28</t>
  </si>
  <si>
    <t>192.168.1.14/28</t>
  </si>
  <si>
    <t>192168.1.15/28</t>
  </si>
  <si>
    <t>192.168.1.17/27</t>
  </si>
  <si>
    <t>192.168.1.46/27</t>
  </si>
  <si>
    <t>192.168.1.48/28</t>
  </si>
  <si>
    <t>192.168.1.49/28</t>
  </si>
  <si>
    <t>192.168.1.62/28</t>
  </si>
  <si>
    <t>192.168.1.63/28</t>
  </si>
  <si>
    <t>192.168.1.78/28</t>
  </si>
  <si>
    <t>192.168.1.79/28</t>
  </si>
  <si>
    <t>192.168.1.80/28</t>
  </si>
  <si>
    <t>192.168.1.81/28</t>
  </si>
  <si>
    <t>192.168.1.110/28</t>
  </si>
  <si>
    <t>192.168.1.111/28</t>
  </si>
  <si>
    <t>192.168.1.112/28</t>
  </si>
  <si>
    <t>192.168.1.113/28</t>
  </si>
  <si>
    <t>192.168.1.2/28</t>
  </si>
  <si>
    <t>192.168.1.50/28</t>
  </si>
  <si>
    <t>192.168.1.66/28</t>
  </si>
  <si>
    <t>192.168.1.82/28</t>
  </si>
  <si>
    <t>VOIP - 1</t>
  </si>
  <si>
    <t>Printer 6</t>
  </si>
  <si>
    <t>Printer 5</t>
  </si>
  <si>
    <t>Printer 4</t>
  </si>
  <si>
    <t>Printer 3</t>
  </si>
  <si>
    <t>Printer 2</t>
  </si>
  <si>
    <t>Printer 1</t>
  </si>
  <si>
    <t>VOIP - 2</t>
  </si>
  <si>
    <t>VOIP - 3</t>
  </si>
  <si>
    <t>VOIP - 4</t>
  </si>
  <si>
    <t>VOIP - 5</t>
  </si>
  <si>
    <t>VOIP - 6</t>
  </si>
  <si>
    <t>192.168.1.99/28</t>
  </si>
  <si>
    <t>192.168.1.109/28</t>
  </si>
  <si>
    <t>192.168.1.93/28</t>
  </si>
  <si>
    <t>192.168.1.77/28</t>
  </si>
  <si>
    <t>192.168.1.61/28</t>
  </si>
  <si>
    <t>192.168.1.13/28</t>
  </si>
  <si>
    <t>Router IP table</t>
  </si>
  <si>
    <t>Switch 1</t>
  </si>
  <si>
    <t>Switch 2</t>
  </si>
  <si>
    <t>Switch 3</t>
  </si>
  <si>
    <t>Switch 4</t>
  </si>
  <si>
    <t>Switch 5</t>
  </si>
  <si>
    <t>Switch 6</t>
  </si>
  <si>
    <t>Gibeth0/0/1</t>
  </si>
  <si>
    <t>Gibeth0/0/2</t>
  </si>
  <si>
    <t>Gibeth0/0/3</t>
  </si>
  <si>
    <t>Gibeth0/0/4</t>
  </si>
  <si>
    <t>Gibeth0/0/5</t>
  </si>
  <si>
    <t>Gibeth0/0/6</t>
  </si>
  <si>
    <t>Server 1</t>
  </si>
  <si>
    <t>Server 2</t>
  </si>
  <si>
    <t>gateway</t>
  </si>
  <si>
    <t>192.168.1.3/28</t>
  </si>
  <si>
    <t>192.168.1.51/28</t>
  </si>
  <si>
    <t>192.168.1.67/28</t>
  </si>
  <si>
    <t>192.168.1.83/28</t>
  </si>
  <si>
    <t>192.168.1.114/28</t>
  </si>
  <si>
    <t>192.168.1.49</t>
  </si>
  <si>
    <t>192.168.1.65</t>
  </si>
  <si>
    <t>192.168.1.81</t>
  </si>
  <si>
    <t>192.168.1.97</t>
  </si>
  <si>
    <t>192.168.1.113</t>
  </si>
  <si>
    <t>192.168.1.34/27</t>
  </si>
  <si>
    <t>192.168.1.61/27</t>
  </si>
  <si>
    <t>192.168.1.35/27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</si>
</sst>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" xfId="0" applyFill="1" applyBorder="1"/>
    <xf numFmtId="0" fontId="0" fillId="2" borderId="9" xfId="0" applyFill="1" applyBorder="1"/>
    <xf numFmtId="0" fontId="0" fillId="2" borderId="0" xfId="0" applyFill="1"/>
    <xf numFmtId="0" fontId="0" fillId="2" borderId="10" xfId="0" applyFill="1" applyBorder="1"/>
    <xf numFmtId="0" fontId="0" fillId="0" borderId="6" xfId="0" applyBorder="1"/>
    <xf numFmtId="0" fontId="0" fillId="2" borderId="15" xfId="0" applyFill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0" borderId="0" xfId="0" applyFill="1" applyBorder="1"/>
    <xf numFmtId="0" fontId="0" fillId="0" borderId="10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2" borderId="0" xfId="0" applyFill="1" applyBorder="1"/>
    <xf numFmtId="0" fontId="0" fillId="3" borderId="0" xfId="0" applyFill="1"/>
    <xf numFmtId="0" fontId="0" fillId="3" borderId="15" xfId="0" applyFill="1" applyBorder="1"/>
    <xf numFmtId="0" fontId="0" fillId="3" borderId="10" xfId="0" applyFill="1" applyBorder="1"/>
    <xf numFmtId="0" fontId="0" fillId="3" borderId="14" xfId="0" applyFill="1" applyBorder="1"/>
    <xf numFmtId="0" fontId="0" fillId="4" borderId="0" xfId="0" applyFill="1"/>
    <xf numFmtId="0" fontId="0" fillId="4" borderId="15" xfId="0" applyFill="1" applyBorder="1"/>
    <xf numFmtId="0" fontId="0" fillId="4" borderId="10" xfId="0" applyFill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7473-6C06-421E-AE8C-BA853F3CA33A}">
  <dimension ref="A1:Y128"/>
  <sheetViews>
    <sheetView topLeftCell="J1" zoomScale="115" zoomScaleNormal="115" workbookViewId="0">
      <selection activeCell="T9" sqref="T9"/>
    </sheetView>
  </sheetViews>
  <sheetFormatPr defaultRowHeight="14.5" x14ac:dyDescent="0.35"/>
  <cols>
    <col min="1" max="1" width="10.81640625" customWidth="1"/>
    <col min="2" max="2" width="16.26953125" customWidth="1"/>
    <col min="19" max="19" width="13.54296875" bestFit="1" customWidth="1"/>
    <col min="20" max="20" width="18.1796875" bestFit="1" customWidth="1"/>
    <col min="21" max="21" width="17.7265625" bestFit="1" customWidth="1"/>
    <col min="22" max="22" width="16.6328125" bestFit="1" customWidth="1"/>
    <col min="23" max="24" width="17.7265625" bestFit="1" customWidth="1"/>
    <col min="25" max="25" width="14.90625" bestFit="1" customWidth="1"/>
  </cols>
  <sheetData>
    <row r="1" spans="1:25" x14ac:dyDescent="0.35">
      <c r="A1" t="s">
        <v>3</v>
      </c>
      <c r="B1" t="s">
        <v>10</v>
      </c>
      <c r="Q1" s="17"/>
      <c r="U1" s="1" t="s">
        <v>27</v>
      </c>
    </row>
    <row r="2" spans="1:25" x14ac:dyDescent="0.35">
      <c r="A2" t="s">
        <v>0</v>
      </c>
      <c r="C2" s="3">
        <f t="shared" ref="C2:F2" si="0">D2*2</f>
        <v>65536</v>
      </c>
      <c r="D2" s="4">
        <f t="shared" si="0"/>
        <v>32768</v>
      </c>
      <c r="E2" s="4">
        <f t="shared" si="0"/>
        <v>16384</v>
      </c>
      <c r="F2" s="4">
        <f t="shared" si="0"/>
        <v>8192</v>
      </c>
      <c r="G2" s="4">
        <f>H2*2</f>
        <v>4096</v>
      </c>
      <c r="H2" s="4">
        <v>2048</v>
      </c>
      <c r="I2" s="4">
        <v>1024</v>
      </c>
      <c r="J2" s="5">
        <v>512</v>
      </c>
      <c r="K2" s="3">
        <v>256</v>
      </c>
      <c r="L2" s="4">
        <v>128</v>
      </c>
      <c r="M2" s="4">
        <v>64</v>
      </c>
      <c r="N2" s="4">
        <v>32</v>
      </c>
      <c r="O2" s="4">
        <v>16</v>
      </c>
      <c r="P2" s="4">
        <v>8</v>
      </c>
      <c r="Q2" s="4">
        <v>4</v>
      </c>
      <c r="R2" s="5">
        <v>2</v>
      </c>
      <c r="U2" s="1" t="s">
        <v>4</v>
      </c>
      <c r="V2" s="1" t="s">
        <v>5</v>
      </c>
      <c r="W2" s="1" t="s">
        <v>6</v>
      </c>
      <c r="X2" s="1" t="s">
        <v>7</v>
      </c>
      <c r="Y2" s="9" t="s">
        <v>8</v>
      </c>
    </row>
    <row r="3" spans="1:25" x14ac:dyDescent="0.35">
      <c r="A3" t="s">
        <v>1</v>
      </c>
      <c r="C3" s="3">
        <v>128</v>
      </c>
      <c r="D3" s="4">
        <v>64</v>
      </c>
      <c r="E3" s="4">
        <v>32</v>
      </c>
      <c r="F3" s="4">
        <v>16</v>
      </c>
      <c r="G3" s="4">
        <v>8</v>
      </c>
      <c r="H3" s="4">
        <v>4</v>
      </c>
      <c r="I3" s="4">
        <v>2</v>
      </c>
      <c r="J3" s="5">
        <v>1</v>
      </c>
      <c r="K3" s="3">
        <v>128</v>
      </c>
      <c r="L3" s="4">
        <v>64</v>
      </c>
      <c r="M3" s="4">
        <v>32</v>
      </c>
      <c r="N3" s="4">
        <v>16</v>
      </c>
      <c r="O3" s="4">
        <v>8</v>
      </c>
      <c r="P3" s="4">
        <v>4</v>
      </c>
      <c r="Q3" s="4">
        <v>2</v>
      </c>
      <c r="R3" s="5">
        <v>1</v>
      </c>
      <c r="U3" s="13"/>
      <c r="V3" s="13"/>
      <c r="W3" s="13"/>
      <c r="X3" s="13"/>
    </row>
    <row r="4" spans="1:25" x14ac:dyDescent="0.35">
      <c r="A4" t="s">
        <v>0</v>
      </c>
      <c r="C4" s="3">
        <v>65536</v>
      </c>
      <c r="D4" s="4">
        <f>C4/2-2</f>
        <v>32766</v>
      </c>
      <c r="E4" s="4">
        <f>D4/2-1</f>
        <v>16382</v>
      </c>
      <c r="F4" s="4">
        <f>E4/2-1</f>
        <v>8190</v>
      </c>
      <c r="G4" s="4">
        <f>F4/2-1</f>
        <v>4094</v>
      </c>
      <c r="H4" s="4">
        <f t="shared" ref="H4:R4" si="1">G4/2-1</f>
        <v>2046</v>
      </c>
      <c r="I4" s="4">
        <f t="shared" si="1"/>
        <v>1022</v>
      </c>
      <c r="J4" s="5">
        <f t="shared" si="1"/>
        <v>510</v>
      </c>
      <c r="K4" s="3">
        <f t="shared" si="1"/>
        <v>254</v>
      </c>
      <c r="L4" s="4">
        <f t="shared" si="1"/>
        <v>126</v>
      </c>
      <c r="M4" s="4">
        <f t="shared" si="1"/>
        <v>62</v>
      </c>
      <c r="N4" s="4">
        <f t="shared" si="1"/>
        <v>30</v>
      </c>
      <c r="O4" s="4">
        <f t="shared" si="1"/>
        <v>14</v>
      </c>
      <c r="P4" s="4">
        <f t="shared" si="1"/>
        <v>6</v>
      </c>
      <c r="Q4" s="4">
        <f t="shared" si="1"/>
        <v>2</v>
      </c>
      <c r="R4" s="5">
        <f t="shared" si="1"/>
        <v>0</v>
      </c>
      <c r="T4" t="s">
        <v>11</v>
      </c>
      <c r="U4" s="14" t="s">
        <v>16</v>
      </c>
      <c r="V4" s="14" t="s">
        <v>15</v>
      </c>
      <c r="W4" s="14" t="s">
        <v>18</v>
      </c>
      <c r="X4" s="14" t="s">
        <v>17</v>
      </c>
      <c r="Y4" s="9" t="s">
        <v>12</v>
      </c>
    </row>
    <row r="5" spans="1:25" x14ac:dyDescent="0.35">
      <c r="A5" t="s">
        <v>2</v>
      </c>
      <c r="C5" s="3">
        <v>16</v>
      </c>
      <c r="D5" s="4">
        <v>15</v>
      </c>
      <c r="E5" s="4">
        <v>14</v>
      </c>
      <c r="F5" s="4">
        <v>13</v>
      </c>
      <c r="G5" s="4">
        <v>12</v>
      </c>
      <c r="H5" s="4">
        <v>11</v>
      </c>
      <c r="I5" s="4">
        <v>10</v>
      </c>
      <c r="J5" s="5">
        <v>9</v>
      </c>
      <c r="K5" s="3">
        <v>8</v>
      </c>
      <c r="L5" s="4">
        <v>7</v>
      </c>
      <c r="M5" s="4">
        <v>6</v>
      </c>
      <c r="N5" s="4">
        <v>5</v>
      </c>
      <c r="O5" s="4">
        <v>4</v>
      </c>
      <c r="P5" s="4">
        <v>3</v>
      </c>
      <c r="Q5" s="4">
        <v>2</v>
      </c>
      <c r="R5" s="5">
        <v>1</v>
      </c>
      <c r="T5" t="s">
        <v>40</v>
      </c>
      <c r="U5" s="14" t="s">
        <v>13</v>
      </c>
      <c r="V5" s="14" t="s">
        <v>31</v>
      </c>
      <c r="W5" s="14" t="s">
        <v>37</v>
      </c>
      <c r="X5" s="14" t="s">
        <v>14</v>
      </c>
      <c r="Y5" s="9" t="s">
        <v>12</v>
      </c>
    </row>
    <row r="6" spans="1:25" x14ac:dyDescent="0.35">
      <c r="A6" s="1"/>
      <c r="B6" s="1"/>
      <c r="C6" s="19"/>
      <c r="D6" s="6"/>
      <c r="E6" s="6"/>
      <c r="F6" s="6"/>
      <c r="G6" s="6"/>
      <c r="H6" s="6"/>
      <c r="I6" s="6"/>
      <c r="J6" s="7"/>
      <c r="K6" s="19"/>
      <c r="L6" s="6"/>
      <c r="M6" s="6"/>
      <c r="N6" s="6"/>
      <c r="O6" s="6"/>
      <c r="P6" s="6"/>
      <c r="Q6" s="6"/>
      <c r="R6" s="7"/>
      <c r="T6" t="s">
        <v>22</v>
      </c>
      <c r="U6" s="14" t="s">
        <v>28</v>
      </c>
      <c r="V6" s="14" t="s">
        <v>32</v>
      </c>
      <c r="W6" s="14" t="s">
        <v>38</v>
      </c>
      <c r="X6" s="14" t="s">
        <v>35</v>
      </c>
      <c r="Y6" s="9" t="s">
        <v>12</v>
      </c>
    </row>
    <row r="7" spans="1:25" x14ac:dyDescent="0.35">
      <c r="A7" s="15">
        <v>192</v>
      </c>
      <c r="B7" s="15">
        <v>168</v>
      </c>
      <c r="C7" s="16">
        <v>0</v>
      </c>
      <c r="D7" s="16">
        <v>0</v>
      </c>
      <c r="E7" s="16">
        <v>0</v>
      </c>
      <c r="F7" s="17">
        <v>0</v>
      </c>
      <c r="G7" s="17">
        <v>0</v>
      </c>
      <c r="H7" s="17">
        <v>0</v>
      </c>
      <c r="I7" s="17">
        <v>0</v>
      </c>
      <c r="J7" s="18">
        <v>1</v>
      </c>
      <c r="K7" s="8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9">
        <v>0</v>
      </c>
      <c r="S7">
        <v>0</v>
      </c>
      <c r="T7" t="s">
        <v>23</v>
      </c>
      <c r="U7" s="14" t="s">
        <v>29</v>
      </c>
      <c r="V7" s="14" t="s">
        <v>33</v>
      </c>
      <c r="W7" s="14" t="s">
        <v>39</v>
      </c>
      <c r="X7" s="14" t="s">
        <v>36</v>
      </c>
      <c r="Y7" s="9" t="s">
        <v>12</v>
      </c>
    </row>
    <row r="8" spans="1:25" x14ac:dyDescent="0.35">
      <c r="A8" s="15">
        <v>192</v>
      </c>
      <c r="B8" s="15">
        <v>168</v>
      </c>
      <c r="C8" s="16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8">
        <v>1</v>
      </c>
      <c r="K8" s="16">
        <v>0</v>
      </c>
      <c r="L8" s="17">
        <v>0</v>
      </c>
      <c r="M8" s="17">
        <v>0</v>
      </c>
      <c r="N8">
        <v>1</v>
      </c>
      <c r="O8">
        <v>1</v>
      </c>
      <c r="P8">
        <v>1</v>
      </c>
      <c r="Q8">
        <v>1</v>
      </c>
      <c r="R8" s="9">
        <v>1</v>
      </c>
      <c r="S8">
        <v>63</v>
      </c>
      <c r="T8" t="s">
        <v>24</v>
      </c>
      <c r="U8" s="14" t="s">
        <v>30</v>
      </c>
      <c r="V8" s="14" t="s">
        <v>34</v>
      </c>
      <c r="W8" s="14" t="s">
        <v>45</v>
      </c>
      <c r="X8" s="14" t="s">
        <v>46</v>
      </c>
      <c r="Y8" s="9" t="s">
        <v>12</v>
      </c>
    </row>
    <row r="9" spans="1:25" ht="15" customHeight="1" x14ac:dyDescent="0.35">
      <c r="A9" s="15">
        <v>192</v>
      </c>
      <c r="B9" s="15">
        <v>168</v>
      </c>
      <c r="C9" s="16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8">
        <v>1</v>
      </c>
      <c r="K9" s="16">
        <v>0</v>
      </c>
      <c r="L9" s="17">
        <v>0</v>
      </c>
      <c r="M9" s="17">
        <v>1</v>
      </c>
      <c r="N9" s="17">
        <v>0</v>
      </c>
      <c r="O9">
        <v>1</v>
      </c>
      <c r="P9">
        <v>1</v>
      </c>
      <c r="Q9">
        <v>1</v>
      </c>
      <c r="R9" s="9">
        <v>1</v>
      </c>
      <c r="S9">
        <v>64</v>
      </c>
      <c r="T9" t="s">
        <v>47</v>
      </c>
      <c r="U9" s="14" t="s">
        <v>20</v>
      </c>
      <c r="V9" s="14" t="s">
        <v>21</v>
      </c>
      <c r="W9" s="14" t="s">
        <v>25</v>
      </c>
      <c r="X9" s="14" t="s">
        <v>26</v>
      </c>
      <c r="Y9" s="9" t="s">
        <v>19</v>
      </c>
    </row>
    <row r="10" spans="1:25" x14ac:dyDescent="0.35">
      <c r="A10" s="15"/>
      <c r="B10" s="15"/>
      <c r="C10" s="16"/>
      <c r="D10" s="17"/>
      <c r="E10" s="17"/>
      <c r="F10" s="17"/>
      <c r="G10" s="17"/>
      <c r="H10" s="17"/>
      <c r="I10" s="17"/>
      <c r="J10" s="18"/>
      <c r="K10" s="16">
        <v>0</v>
      </c>
      <c r="L10" s="17">
        <v>0</v>
      </c>
      <c r="M10" s="17">
        <v>1</v>
      </c>
      <c r="N10" s="17">
        <v>0</v>
      </c>
      <c r="O10">
        <v>0</v>
      </c>
      <c r="P10">
        <v>0</v>
      </c>
      <c r="Q10">
        <v>0</v>
      </c>
      <c r="R10" s="9">
        <v>0</v>
      </c>
      <c r="T10" t="s">
        <v>48</v>
      </c>
      <c r="U10" s="14" t="s">
        <v>41</v>
      </c>
      <c r="V10" s="14" t="s">
        <v>42</v>
      </c>
      <c r="W10" s="14" t="s">
        <v>43</v>
      </c>
      <c r="X10" s="14" t="s">
        <v>44</v>
      </c>
      <c r="Y10" s="9" t="s">
        <v>19</v>
      </c>
    </row>
    <row r="11" spans="1:25" x14ac:dyDescent="0.35">
      <c r="A11" s="15"/>
      <c r="B11" s="15"/>
      <c r="C11" s="16"/>
      <c r="D11" s="17"/>
      <c r="E11" s="17"/>
      <c r="F11" s="17"/>
      <c r="G11" s="17"/>
      <c r="H11" s="17"/>
      <c r="I11" s="17"/>
      <c r="J11" s="18"/>
      <c r="K11" s="16"/>
      <c r="L11" s="17"/>
      <c r="M11" s="17"/>
      <c r="N11" s="17"/>
      <c r="R11" s="9"/>
      <c r="U11" s="14"/>
      <c r="V11" s="14"/>
      <c r="W11" s="14"/>
      <c r="X11" s="14"/>
    </row>
    <row r="12" spans="1:25" x14ac:dyDescent="0.35">
      <c r="A12" s="15"/>
      <c r="B12" s="15"/>
      <c r="C12" s="16"/>
      <c r="D12" s="17"/>
      <c r="E12" s="17"/>
      <c r="F12" s="17"/>
      <c r="G12" s="17"/>
      <c r="H12" s="17"/>
      <c r="I12" s="17"/>
      <c r="J12" s="18"/>
      <c r="K12" s="16"/>
      <c r="L12" s="17"/>
      <c r="M12" s="17"/>
      <c r="N12" s="17"/>
      <c r="R12" s="9"/>
      <c r="U12" s="14"/>
      <c r="V12" s="14"/>
      <c r="W12" s="14"/>
      <c r="X12" s="14"/>
    </row>
    <row r="13" spans="1:25" x14ac:dyDescent="0.35">
      <c r="A13" s="15"/>
      <c r="B13" s="15"/>
      <c r="C13" s="16"/>
      <c r="D13" s="17"/>
      <c r="E13" s="17"/>
      <c r="F13" s="17"/>
      <c r="G13" s="17"/>
      <c r="H13" s="17"/>
      <c r="I13" s="17"/>
      <c r="J13" s="18"/>
      <c r="K13" s="16"/>
      <c r="L13" s="17"/>
      <c r="M13" s="17"/>
      <c r="N13" s="17"/>
      <c r="R13" s="9"/>
      <c r="U13" s="14"/>
      <c r="V13" s="14"/>
      <c r="W13" s="14"/>
      <c r="X13" s="14"/>
    </row>
    <row r="14" spans="1:25" x14ac:dyDescent="0.35">
      <c r="A14" s="1"/>
      <c r="B14" s="1"/>
      <c r="C14" s="8"/>
      <c r="J14" s="9"/>
      <c r="K14" s="8"/>
      <c r="S14" s="22" t="s">
        <v>51</v>
      </c>
      <c r="T14" s="22"/>
      <c r="U14" s="9" t="s">
        <v>56</v>
      </c>
      <c r="V14" s="14"/>
      <c r="W14" s="14"/>
      <c r="X14" s="14"/>
    </row>
    <row r="15" spans="1:25" x14ac:dyDescent="0.35">
      <c r="A15" s="1"/>
      <c r="B15" s="1"/>
      <c r="C15" s="8"/>
      <c r="J15" s="9"/>
      <c r="K15" s="8"/>
      <c r="R15" s="9"/>
      <c r="S15" t="s">
        <v>49</v>
      </c>
      <c r="T15" s="14" t="s">
        <v>15</v>
      </c>
      <c r="U15" s="9" t="s">
        <v>12</v>
      </c>
      <c r="V15" s="14"/>
      <c r="W15" s="14"/>
      <c r="X15" s="14"/>
    </row>
    <row r="16" spans="1:25" x14ac:dyDescent="0.35">
      <c r="A16" s="1"/>
      <c r="B16" s="1"/>
      <c r="C16" s="8"/>
      <c r="J16" s="9"/>
      <c r="K16" s="8"/>
      <c r="R16" s="9"/>
      <c r="S16" t="s">
        <v>9</v>
      </c>
      <c r="T16" s="14" t="s">
        <v>15</v>
      </c>
      <c r="U16" s="14"/>
      <c r="V16" s="14"/>
      <c r="W16" s="14"/>
      <c r="X16" s="14"/>
    </row>
    <row r="17" spans="1:24" x14ac:dyDescent="0.35">
      <c r="A17" s="1"/>
      <c r="B17" s="1"/>
      <c r="C17" s="8"/>
      <c r="J17" s="9"/>
      <c r="K17" s="8"/>
      <c r="R17" s="9"/>
      <c r="S17" t="s">
        <v>50</v>
      </c>
      <c r="T17" s="14" t="s">
        <v>18</v>
      </c>
      <c r="U17" s="9" t="s">
        <v>12</v>
      </c>
      <c r="V17" s="14"/>
      <c r="W17" s="14"/>
      <c r="X17" s="14"/>
    </row>
    <row r="18" spans="1:24" x14ac:dyDescent="0.35">
      <c r="A18" s="1"/>
      <c r="B18" s="1"/>
      <c r="C18" s="8"/>
      <c r="J18" s="9"/>
      <c r="K18" s="8"/>
      <c r="R18" s="9"/>
      <c r="U18" s="14"/>
      <c r="V18" s="14"/>
      <c r="W18" s="14"/>
      <c r="X18" s="14"/>
    </row>
    <row r="19" spans="1:24" x14ac:dyDescent="0.35">
      <c r="A19" s="1"/>
      <c r="B19" s="1"/>
      <c r="C19" s="8"/>
      <c r="J19" s="9"/>
      <c r="K19" s="8"/>
      <c r="R19" s="9"/>
      <c r="S19" s="22" t="s">
        <v>52</v>
      </c>
      <c r="T19" s="22"/>
      <c r="U19" s="9" t="s">
        <v>56</v>
      </c>
      <c r="V19" s="14"/>
      <c r="W19" s="14"/>
      <c r="X19" s="14"/>
    </row>
    <row r="20" spans="1:24" x14ac:dyDescent="0.35">
      <c r="A20" s="1"/>
      <c r="B20" s="1"/>
      <c r="C20" s="8"/>
      <c r="J20" s="9"/>
      <c r="K20" s="8"/>
      <c r="R20" s="9"/>
      <c r="S20" t="s">
        <v>49</v>
      </c>
      <c r="T20" s="14" t="s">
        <v>31</v>
      </c>
      <c r="U20" s="9" t="s">
        <v>12</v>
      </c>
      <c r="V20" s="14"/>
      <c r="W20" s="14"/>
      <c r="X20" s="14"/>
    </row>
    <row r="21" spans="1:24" x14ac:dyDescent="0.35">
      <c r="A21" s="1"/>
      <c r="B21" s="1"/>
      <c r="C21" s="8"/>
      <c r="J21" s="9"/>
      <c r="K21" s="8"/>
      <c r="R21" s="9"/>
      <c r="S21" t="s">
        <v>9</v>
      </c>
      <c r="T21" s="14" t="s">
        <v>37</v>
      </c>
      <c r="U21" s="14"/>
      <c r="V21" s="14"/>
      <c r="W21" s="14"/>
      <c r="X21" s="14"/>
    </row>
    <row r="22" spans="1:24" x14ac:dyDescent="0.35">
      <c r="A22" s="1"/>
      <c r="B22" s="1"/>
      <c r="C22" s="8"/>
      <c r="J22" s="9"/>
      <c r="K22" s="8"/>
      <c r="R22" s="9"/>
      <c r="S22" t="s">
        <v>50</v>
      </c>
      <c r="T22" s="14" t="s">
        <v>37</v>
      </c>
      <c r="U22" s="9" t="s">
        <v>12</v>
      </c>
      <c r="V22" s="14"/>
      <c r="W22" s="14"/>
      <c r="X22" s="14"/>
    </row>
    <row r="23" spans="1:24" x14ac:dyDescent="0.35">
      <c r="A23" s="1"/>
      <c r="B23" s="1"/>
      <c r="C23" s="8"/>
      <c r="J23" s="9"/>
      <c r="K23" s="8"/>
      <c r="R23" s="9"/>
      <c r="U23" s="14"/>
      <c r="V23" s="14"/>
      <c r="W23" s="14"/>
      <c r="X23" s="14"/>
    </row>
    <row r="24" spans="1:24" x14ac:dyDescent="0.35">
      <c r="A24" s="1"/>
      <c r="B24" s="1"/>
      <c r="C24" s="8"/>
      <c r="J24" s="9"/>
      <c r="K24" s="8"/>
      <c r="R24" s="9"/>
      <c r="S24" s="22" t="s">
        <v>53</v>
      </c>
      <c r="T24" s="22"/>
      <c r="U24" s="9" t="s">
        <v>56</v>
      </c>
      <c r="V24" s="14"/>
      <c r="W24" s="14"/>
      <c r="X24" s="14"/>
    </row>
    <row r="25" spans="1:24" x14ac:dyDescent="0.35">
      <c r="A25" s="1"/>
      <c r="B25" s="1"/>
      <c r="C25" s="8"/>
      <c r="J25" s="9"/>
      <c r="K25" s="8"/>
      <c r="R25" s="9"/>
      <c r="S25" t="s">
        <v>49</v>
      </c>
      <c r="T25" s="14" t="s">
        <v>32</v>
      </c>
      <c r="U25" s="9" t="s">
        <v>12</v>
      </c>
      <c r="V25" s="14"/>
      <c r="W25" s="14"/>
      <c r="X25" s="14"/>
    </row>
    <row r="26" spans="1:24" x14ac:dyDescent="0.35">
      <c r="A26" s="1"/>
      <c r="B26" s="1"/>
      <c r="C26" s="8"/>
      <c r="J26" s="9"/>
      <c r="K26" s="8"/>
      <c r="R26" s="9"/>
      <c r="S26" t="s">
        <v>9</v>
      </c>
      <c r="T26" s="14" t="s">
        <v>38</v>
      </c>
      <c r="U26" s="14"/>
      <c r="V26" s="14"/>
      <c r="W26" s="14"/>
      <c r="X26" s="14"/>
    </row>
    <row r="27" spans="1:24" x14ac:dyDescent="0.35">
      <c r="A27" s="1"/>
      <c r="B27" s="1"/>
      <c r="C27" s="8"/>
      <c r="J27" s="9"/>
      <c r="K27" s="8"/>
      <c r="R27" s="9"/>
      <c r="S27" t="s">
        <v>50</v>
      </c>
      <c r="T27" s="14" t="s">
        <v>38</v>
      </c>
      <c r="U27" s="9" t="s">
        <v>12</v>
      </c>
      <c r="V27" s="14"/>
      <c r="W27" s="14"/>
      <c r="X27" s="14"/>
    </row>
    <row r="28" spans="1:24" x14ac:dyDescent="0.35">
      <c r="A28" s="1"/>
      <c r="B28" s="1"/>
      <c r="C28" s="8"/>
      <c r="J28" s="9"/>
      <c r="K28" s="8"/>
      <c r="R28" s="9"/>
      <c r="U28" s="14"/>
      <c r="V28" s="14"/>
      <c r="W28" s="14"/>
      <c r="X28" s="14"/>
    </row>
    <row r="29" spans="1:24" x14ac:dyDescent="0.35">
      <c r="A29" s="1"/>
      <c r="B29" s="1"/>
      <c r="C29" s="8"/>
      <c r="J29" s="9"/>
      <c r="K29" s="8"/>
      <c r="R29" s="9"/>
      <c r="S29" s="21" t="s">
        <v>54</v>
      </c>
      <c r="T29" s="21"/>
      <c r="U29" s="18" t="s">
        <v>56</v>
      </c>
      <c r="V29" s="14"/>
      <c r="W29" s="14"/>
      <c r="X29" s="14"/>
    </row>
    <row r="30" spans="1:24" x14ac:dyDescent="0.35">
      <c r="A30" s="1"/>
      <c r="B30" s="1"/>
      <c r="C30" s="8"/>
      <c r="J30" s="9"/>
      <c r="K30" s="8"/>
      <c r="R30" s="9"/>
      <c r="S30" s="17" t="s">
        <v>49</v>
      </c>
      <c r="T30" s="20" t="s">
        <v>33</v>
      </c>
      <c r="U30" s="18" t="s">
        <v>12</v>
      </c>
      <c r="V30" s="14"/>
      <c r="W30" s="14"/>
      <c r="X30" s="14"/>
    </row>
    <row r="31" spans="1:24" x14ac:dyDescent="0.35">
      <c r="A31" s="1"/>
      <c r="B31" s="1"/>
      <c r="C31" s="8"/>
      <c r="J31" s="9"/>
      <c r="K31" s="8"/>
      <c r="R31" s="9"/>
      <c r="S31" s="17" t="s">
        <v>9</v>
      </c>
      <c r="T31" s="17" t="s">
        <v>39</v>
      </c>
      <c r="U31" s="20"/>
      <c r="V31" s="14"/>
      <c r="W31" s="14"/>
      <c r="X31" s="14"/>
    </row>
    <row r="32" spans="1:24" x14ac:dyDescent="0.35">
      <c r="A32" s="1"/>
      <c r="B32" s="1"/>
      <c r="C32" s="8"/>
      <c r="J32" s="9"/>
      <c r="K32" s="8"/>
      <c r="R32" s="9"/>
      <c r="S32" s="17" t="s">
        <v>50</v>
      </c>
      <c r="T32" s="20" t="s">
        <v>39</v>
      </c>
      <c r="U32" s="18" t="s">
        <v>12</v>
      </c>
      <c r="V32" s="14"/>
      <c r="W32" s="14"/>
      <c r="X32" s="14"/>
    </row>
    <row r="33" spans="1:24" x14ac:dyDescent="0.35">
      <c r="A33" s="1"/>
      <c r="B33" s="1"/>
      <c r="C33" s="8"/>
      <c r="J33" s="9"/>
      <c r="K33" s="8"/>
      <c r="R33" s="9"/>
      <c r="U33" s="14"/>
      <c r="V33" s="14"/>
      <c r="W33" s="14"/>
      <c r="X33" s="14"/>
    </row>
    <row r="34" spans="1:24" x14ac:dyDescent="0.35">
      <c r="A34" s="1"/>
      <c r="B34" s="1"/>
      <c r="C34" s="8"/>
      <c r="J34" s="9"/>
      <c r="K34" s="8"/>
      <c r="R34" s="9"/>
      <c r="S34" s="22" t="s">
        <v>55</v>
      </c>
      <c r="T34" s="22"/>
      <c r="U34" s="9" t="s">
        <v>56</v>
      </c>
      <c r="V34" s="14"/>
      <c r="W34" s="14"/>
      <c r="X34" s="14"/>
    </row>
    <row r="35" spans="1:24" x14ac:dyDescent="0.35">
      <c r="A35" s="1"/>
      <c r="B35" s="1"/>
      <c r="C35" s="8"/>
      <c r="J35" s="9"/>
      <c r="K35" s="8"/>
      <c r="R35" s="9"/>
      <c r="S35" t="s">
        <v>49</v>
      </c>
      <c r="T35" s="14" t="s">
        <v>34</v>
      </c>
      <c r="U35" s="9" t="s">
        <v>12</v>
      </c>
      <c r="V35" s="14"/>
      <c r="W35" s="14"/>
      <c r="X35" s="14"/>
    </row>
    <row r="36" spans="1:24" x14ac:dyDescent="0.35">
      <c r="A36" s="1"/>
      <c r="B36" s="1"/>
      <c r="C36" s="8"/>
      <c r="J36" s="9"/>
      <c r="K36" s="8"/>
      <c r="R36" s="9"/>
      <c r="S36" t="s">
        <v>9</v>
      </c>
      <c r="T36" s="14" t="s">
        <v>15</v>
      </c>
      <c r="U36" s="14"/>
      <c r="V36" s="14"/>
      <c r="W36" s="14"/>
      <c r="X36" s="14"/>
    </row>
    <row r="37" spans="1:24" x14ac:dyDescent="0.35">
      <c r="A37" s="1"/>
      <c r="B37" s="1"/>
      <c r="C37" s="8"/>
      <c r="J37" s="9"/>
      <c r="K37" s="8"/>
      <c r="R37" s="9"/>
      <c r="S37" t="s">
        <v>50</v>
      </c>
      <c r="T37" s="14" t="s">
        <v>45</v>
      </c>
      <c r="U37" s="9" t="s">
        <v>12</v>
      </c>
      <c r="V37" s="14"/>
      <c r="W37" s="14"/>
      <c r="X37" s="14"/>
    </row>
    <row r="38" spans="1:24" x14ac:dyDescent="0.35">
      <c r="A38" s="1"/>
      <c r="B38" s="1"/>
      <c r="C38" s="8"/>
      <c r="J38" s="9"/>
      <c r="K38" s="8"/>
      <c r="R38" s="9"/>
      <c r="U38" s="14"/>
      <c r="V38" s="14"/>
      <c r="W38" s="14"/>
      <c r="X38" s="14"/>
    </row>
    <row r="39" spans="1:24" x14ac:dyDescent="0.35">
      <c r="A39" s="1"/>
      <c r="B39" s="1"/>
      <c r="C39" s="8"/>
      <c r="J39" s="9"/>
      <c r="K39" s="8"/>
      <c r="R39" s="9"/>
      <c r="S39" s="22" t="s">
        <v>57</v>
      </c>
      <c r="T39" s="22"/>
      <c r="U39" s="9" t="s">
        <v>56</v>
      </c>
      <c r="V39" s="14"/>
      <c r="W39" s="14"/>
      <c r="X39" s="14"/>
    </row>
    <row r="40" spans="1:24" x14ac:dyDescent="0.35">
      <c r="A40" s="1"/>
      <c r="B40" s="1"/>
      <c r="C40" s="8"/>
      <c r="J40" s="9"/>
      <c r="K40" s="8"/>
      <c r="R40" s="9"/>
      <c r="S40" t="s">
        <v>49</v>
      </c>
      <c r="T40" s="14" t="s">
        <v>21</v>
      </c>
      <c r="U40" s="9" t="s">
        <v>19</v>
      </c>
      <c r="V40" s="14"/>
      <c r="W40" s="14"/>
      <c r="X40" s="14"/>
    </row>
    <row r="41" spans="1:24" x14ac:dyDescent="0.35">
      <c r="A41" s="1"/>
      <c r="B41" s="1"/>
      <c r="C41" s="8"/>
      <c r="J41" s="9"/>
      <c r="K41" s="8"/>
      <c r="R41" s="9"/>
      <c r="S41" t="s">
        <v>9</v>
      </c>
      <c r="T41" s="14" t="s">
        <v>25</v>
      </c>
      <c r="U41" s="14"/>
      <c r="V41" s="14"/>
      <c r="W41" s="14"/>
      <c r="X41" s="14"/>
    </row>
    <row r="42" spans="1:24" x14ac:dyDescent="0.35">
      <c r="A42" s="1"/>
      <c r="B42" s="1"/>
      <c r="C42" s="8"/>
      <c r="J42" s="9"/>
      <c r="K42" s="8"/>
      <c r="R42" s="9"/>
      <c r="S42" t="s">
        <v>50</v>
      </c>
      <c r="T42" s="14" t="s">
        <v>25</v>
      </c>
      <c r="U42" s="9" t="s">
        <v>19</v>
      </c>
      <c r="V42" s="14"/>
      <c r="W42" s="14"/>
      <c r="X42" s="14"/>
    </row>
    <row r="43" spans="1:24" x14ac:dyDescent="0.35">
      <c r="A43" s="1"/>
      <c r="B43" s="1"/>
      <c r="C43" s="8"/>
      <c r="J43" s="9"/>
      <c r="K43" s="8"/>
      <c r="R43" s="9"/>
      <c r="U43" s="14"/>
      <c r="V43" s="14"/>
      <c r="W43" s="14"/>
      <c r="X43" s="14"/>
    </row>
    <row r="44" spans="1:24" x14ac:dyDescent="0.35">
      <c r="A44" s="1"/>
      <c r="B44" s="1"/>
      <c r="C44" s="8"/>
      <c r="J44" s="9"/>
      <c r="K44" s="8"/>
      <c r="R44" s="9"/>
      <c r="S44" s="21" t="s">
        <v>58</v>
      </c>
      <c r="T44" s="21"/>
      <c r="U44" s="18" t="s">
        <v>56</v>
      </c>
      <c r="V44" s="14"/>
      <c r="W44" s="14"/>
      <c r="X44" s="14"/>
    </row>
    <row r="45" spans="1:24" x14ac:dyDescent="0.35">
      <c r="A45" s="1"/>
      <c r="B45" s="1"/>
      <c r="C45" s="8"/>
      <c r="J45" s="9"/>
      <c r="K45" s="8"/>
      <c r="R45" s="9"/>
      <c r="S45" s="17" t="s">
        <v>49</v>
      </c>
      <c r="T45" s="20" t="s">
        <v>42</v>
      </c>
      <c r="U45" s="18" t="s">
        <v>19</v>
      </c>
      <c r="V45" s="14"/>
      <c r="W45" s="14"/>
      <c r="X45" s="14"/>
    </row>
    <row r="46" spans="1:24" x14ac:dyDescent="0.35">
      <c r="A46" s="1"/>
      <c r="B46" s="1"/>
      <c r="C46" s="8"/>
      <c r="J46" s="9"/>
      <c r="K46" s="8"/>
      <c r="R46" s="9"/>
      <c r="S46" s="17" t="s">
        <v>9</v>
      </c>
      <c r="T46" s="20" t="s">
        <v>43</v>
      </c>
      <c r="U46" s="20"/>
      <c r="V46" s="14"/>
      <c r="W46" s="14"/>
      <c r="X46" s="14"/>
    </row>
    <row r="47" spans="1:24" x14ac:dyDescent="0.35">
      <c r="A47" s="1"/>
      <c r="B47" s="1"/>
      <c r="C47" s="8"/>
      <c r="J47" s="9"/>
      <c r="K47" s="8"/>
      <c r="R47" s="9"/>
      <c r="S47" s="17" t="s">
        <v>50</v>
      </c>
      <c r="T47" s="20" t="s">
        <v>43</v>
      </c>
      <c r="U47" s="18" t="s">
        <v>19</v>
      </c>
      <c r="V47" s="14"/>
      <c r="W47" s="14"/>
      <c r="X47" s="14"/>
    </row>
    <row r="48" spans="1:24" x14ac:dyDescent="0.35">
      <c r="A48" s="1"/>
      <c r="B48" s="1"/>
      <c r="C48" s="8"/>
      <c r="J48" s="9"/>
      <c r="K48" s="8"/>
      <c r="R48" s="9"/>
      <c r="U48" s="14"/>
      <c r="V48" s="14"/>
      <c r="W48" s="14"/>
      <c r="X48" s="14"/>
    </row>
    <row r="49" spans="1:24" x14ac:dyDescent="0.35">
      <c r="A49" s="1"/>
      <c r="B49" s="1"/>
      <c r="C49" s="8"/>
      <c r="J49" s="9"/>
      <c r="K49" s="8"/>
      <c r="R49" s="9"/>
      <c r="U49" s="14"/>
      <c r="V49" s="14"/>
      <c r="W49" s="14"/>
      <c r="X49" s="14"/>
    </row>
    <row r="50" spans="1:24" x14ac:dyDescent="0.35">
      <c r="A50" s="1"/>
      <c r="B50" s="1"/>
      <c r="C50" s="8"/>
      <c r="J50" s="9"/>
      <c r="K50" s="8"/>
      <c r="R50" s="9"/>
      <c r="U50" s="14"/>
      <c r="V50" s="14"/>
      <c r="W50" s="14"/>
      <c r="X50" s="14"/>
    </row>
    <row r="51" spans="1:24" x14ac:dyDescent="0.35">
      <c r="A51" s="1"/>
      <c r="B51" s="1"/>
      <c r="C51" s="8"/>
      <c r="J51" s="9"/>
      <c r="K51" s="8"/>
      <c r="R51" s="9"/>
      <c r="U51" s="14"/>
      <c r="V51" s="14"/>
      <c r="W51" s="14"/>
      <c r="X51" s="14"/>
    </row>
    <row r="52" spans="1:24" x14ac:dyDescent="0.35">
      <c r="A52" s="1"/>
      <c r="B52" s="1"/>
      <c r="C52" s="8"/>
      <c r="J52" s="9"/>
      <c r="K52" s="8"/>
      <c r="R52" s="9"/>
      <c r="U52" s="14"/>
      <c r="V52" s="14"/>
      <c r="W52" s="14"/>
      <c r="X52" s="14"/>
    </row>
    <row r="53" spans="1:24" x14ac:dyDescent="0.35">
      <c r="A53" s="1"/>
      <c r="B53" s="1"/>
      <c r="C53" s="8"/>
      <c r="J53" s="9"/>
      <c r="K53" s="8"/>
      <c r="R53" s="9"/>
      <c r="U53" s="14"/>
      <c r="V53" s="14"/>
      <c r="W53" s="14"/>
      <c r="X53" s="14"/>
    </row>
    <row r="54" spans="1:24" x14ac:dyDescent="0.35">
      <c r="A54" s="1"/>
      <c r="B54" s="1"/>
      <c r="C54" s="8"/>
      <c r="J54" s="9"/>
      <c r="K54" s="8"/>
      <c r="R54" s="9"/>
      <c r="U54" s="14"/>
      <c r="V54" s="14"/>
      <c r="W54" s="14"/>
      <c r="X54" s="14"/>
    </row>
    <row r="55" spans="1:24" x14ac:dyDescent="0.35">
      <c r="A55" s="1"/>
      <c r="B55" s="1"/>
      <c r="C55" s="8"/>
      <c r="J55" s="9"/>
      <c r="K55" s="8"/>
      <c r="R55" s="9"/>
      <c r="U55" s="14"/>
      <c r="V55" s="14"/>
      <c r="W55" s="14"/>
      <c r="X55" s="14"/>
    </row>
    <row r="56" spans="1:24" x14ac:dyDescent="0.35">
      <c r="A56" s="1"/>
      <c r="B56" s="1"/>
      <c r="C56" s="8"/>
      <c r="J56" s="9"/>
      <c r="K56" s="8"/>
      <c r="R56" s="9"/>
      <c r="U56" s="14"/>
      <c r="V56" s="14"/>
      <c r="W56" s="14"/>
      <c r="X56" s="14"/>
    </row>
    <row r="57" spans="1:24" x14ac:dyDescent="0.35">
      <c r="A57" s="1"/>
      <c r="B57" s="1"/>
      <c r="C57" s="8"/>
      <c r="J57" s="9"/>
      <c r="K57" s="8"/>
      <c r="R57" s="9"/>
      <c r="U57" s="14"/>
      <c r="V57" s="14"/>
      <c r="W57" s="14"/>
      <c r="X57" s="14"/>
    </row>
    <row r="58" spans="1:24" x14ac:dyDescent="0.35">
      <c r="A58" s="1"/>
      <c r="B58" s="1"/>
      <c r="C58" s="8"/>
      <c r="J58" s="9"/>
      <c r="K58" s="8"/>
      <c r="R58" s="9"/>
      <c r="U58" s="14"/>
      <c r="V58" s="14"/>
      <c r="W58" s="14"/>
      <c r="X58" s="14"/>
    </row>
    <row r="59" spans="1:24" x14ac:dyDescent="0.35">
      <c r="A59" s="1"/>
      <c r="B59" s="1"/>
      <c r="C59" s="8"/>
      <c r="J59" s="9"/>
      <c r="K59" s="8"/>
      <c r="R59" s="9"/>
      <c r="U59" s="14"/>
      <c r="V59" s="14"/>
      <c r="W59" s="14"/>
      <c r="X59" s="14"/>
    </row>
    <row r="60" spans="1:24" x14ac:dyDescent="0.35">
      <c r="A60" s="1"/>
      <c r="B60" s="1"/>
      <c r="C60" s="8"/>
      <c r="J60" s="9"/>
      <c r="K60" s="8"/>
      <c r="R60" s="9"/>
      <c r="U60" s="14"/>
      <c r="V60" s="14"/>
      <c r="W60" s="14"/>
      <c r="X60" s="14"/>
    </row>
    <row r="61" spans="1:24" x14ac:dyDescent="0.35">
      <c r="A61" s="1"/>
      <c r="B61" s="1"/>
      <c r="C61" s="8"/>
      <c r="J61" s="9"/>
      <c r="K61" s="8"/>
      <c r="R61" s="9"/>
      <c r="U61" s="14"/>
      <c r="V61" s="14"/>
      <c r="W61" s="14"/>
      <c r="X61" s="14"/>
    </row>
    <row r="62" spans="1:24" x14ac:dyDescent="0.35">
      <c r="A62" s="1"/>
      <c r="B62" s="1"/>
      <c r="C62" s="8"/>
      <c r="J62" s="9"/>
      <c r="K62" s="8"/>
      <c r="R62" s="9"/>
      <c r="U62" s="14"/>
      <c r="V62" s="14"/>
      <c r="W62" s="14"/>
      <c r="X62" s="14"/>
    </row>
    <row r="63" spans="1:24" x14ac:dyDescent="0.35">
      <c r="A63" s="1"/>
      <c r="B63" s="1"/>
      <c r="C63" s="8"/>
      <c r="J63" s="9"/>
      <c r="K63" s="8"/>
      <c r="R63" s="9"/>
      <c r="U63" s="14"/>
      <c r="V63" s="14"/>
      <c r="W63" s="14"/>
      <c r="X63" s="14"/>
    </row>
    <row r="64" spans="1:24" x14ac:dyDescent="0.35">
      <c r="A64" s="1"/>
      <c r="B64" s="1"/>
      <c r="C64" s="8"/>
      <c r="J64" s="9"/>
      <c r="K64" s="8"/>
      <c r="R64" s="9"/>
      <c r="U64" s="14"/>
      <c r="V64" s="14"/>
      <c r="W64" s="14"/>
      <c r="X64" s="14"/>
    </row>
    <row r="65" spans="1:24" x14ac:dyDescent="0.35">
      <c r="A65" s="1"/>
      <c r="B65" s="1"/>
      <c r="C65" s="8"/>
      <c r="J65" s="9"/>
      <c r="K65" s="8"/>
      <c r="R65" s="9"/>
      <c r="U65" s="14"/>
      <c r="V65" s="14"/>
      <c r="W65" s="14"/>
      <c r="X65" s="14"/>
    </row>
    <row r="66" spans="1:24" x14ac:dyDescent="0.35">
      <c r="A66" s="1"/>
      <c r="B66" s="1"/>
      <c r="C66" s="8"/>
      <c r="J66" s="9"/>
      <c r="K66" s="8"/>
      <c r="R66" s="9"/>
      <c r="U66" s="14"/>
      <c r="V66" s="14"/>
      <c r="W66" s="14"/>
      <c r="X66" s="14"/>
    </row>
    <row r="67" spans="1:24" x14ac:dyDescent="0.35">
      <c r="A67" s="1"/>
      <c r="B67" s="1"/>
      <c r="C67" s="8"/>
      <c r="J67" s="9"/>
      <c r="K67" s="8"/>
      <c r="R67" s="9"/>
      <c r="U67" s="14"/>
      <c r="V67" s="14"/>
      <c r="W67" s="14"/>
      <c r="X67" s="14"/>
    </row>
    <row r="68" spans="1:24" x14ac:dyDescent="0.35">
      <c r="A68" s="1"/>
      <c r="B68" s="1"/>
      <c r="C68" s="8"/>
      <c r="J68" s="9"/>
      <c r="K68" s="8"/>
      <c r="R68" s="9"/>
      <c r="U68" s="14"/>
      <c r="V68" s="14"/>
      <c r="W68" s="14"/>
      <c r="X68" s="14"/>
    </row>
    <row r="69" spans="1:24" x14ac:dyDescent="0.35">
      <c r="A69" s="1"/>
      <c r="B69" s="1"/>
      <c r="C69" s="8"/>
      <c r="J69" s="9"/>
      <c r="K69" s="8"/>
      <c r="R69" s="9"/>
      <c r="U69" s="14"/>
      <c r="V69" s="14"/>
      <c r="W69" s="14"/>
      <c r="X69" s="14"/>
    </row>
    <row r="70" spans="1:24" x14ac:dyDescent="0.35">
      <c r="A70" s="1"/>
      <c r="B70" s="1"/>
      <c r="C70" s="8"/>
      <c r="J70" s="9"/>
      <c r="K70" s="8"/>
      <c r="R70" s="9"/>
      <c r="U70" s="14"/>
      <c r="V70" s="14"/>
      <c r="W70" s="14"/>
      <c r="X70" s="14"/>
    </row>
    <row r="71" spans="1:24" x14ac:dyDescent="0.35">
      <c r="A71" s="1"/>
      <c r="B71" s="1"/>
      <c r="C71" s="8"/>
      <c r="J71" s="9"/>
      <c r="K71" s="8"/>
      <c r="R71" s="9"/>
      <c r="U71" s="14"/>
      <c r="V71" s="14"/>
      <c r="W71" s="14"/>
      <c r="X71" s="14"/>
    </row>
    <row r="72" spans="1:24" x14ac:dyDescent="0.35">
      <c r="A72" s="1"/>
      <c r="B72" s="1"/>
      <c r="C72" s="8"/>
      <c r="J72" s="9"/>
      <c r="K72" s="8"/>
      <c r="R72" s="9"/>
      <c r="U72" s="14"/>
      <c r="V72" s="14"/>
      <c r="W72" s="14"/>
      <c r="X72" s="14"/>
    </row>
    <row r="73" spans="1:24" x14ac:dyDescent="0.35">
      <c r="A73" s="1"/>
      <c r="B73" s="1"/>
      <c r="C73" s="8"/>
      <c r="J73" s="9"/>
      <c r="K73" s="8"/>
      <c r="R73" s="9"/>
      <c r="U73" s="14"/>
      <c r="V73" s="14"/>
      <c r="W73" s="14"/>
      <c r="X73" s="14"/>
    </row>
    <row r="74" spans="1:24" x14ac:dyDescent="0.35">
      <c r="A74" s="1"/>
      <c r="B74" s="1"/>
      <c r="C74" s="8"/>
      <c r="J74" s="9"/>
      <c r="K74" s="8"/>
      <c r="R74" s="9"/>
      <c r="U74" s="14"/>
      <c r="V74" s="14"/>
      <c r="W74" s="14"/>
      <c r="X74" s="14"/>
    </row>
    <row r="75" spans="1:24" x14ac:dyDescent="0.35">
      <c r="A75" s="1"/>
      <c r="B75" s="1"/>
      <c r="C75" s="8"/>
      <c r="J75" s="9"/>
      <c r="K75" s="8"/>
      <c r="R75" s="9"/>
      <c r="U75" s="14"/>
      <c r="V75" s="14"/>
      <c r="W75" s="14"/>
      <c r="X75" s="14"/>
    </row>
    <row r="76" spans="1:24" x14ac:dyDescent="0.35">
      <c r="A76" s="1"/>
      <c r="B76" s="1"/>
      <c r="C76" s="8"/>
      <c r="J76" s="9"/>
      <c r="K76" s="8"/>
      <c r="R76" s="9"/>
      <c r="U76" s="14"/>
      <c r="V76" s="14"/>
      <c r="W76" s="14"/>
      <c r="X76" s="14"/>
    </row>
    <row r="77" spans="1:24" x14ac:dyDescent="0.35">
      <c r="A77" s="1"/>
      <c r="B77" s="1"/>
      <c r="C77" s="8"/>
      <c r="J77" s="9"/>
      <c r="K77" s="8"/>
      <c r="R77" s="9"/>
      <c r="U77" s="14"/>
      <c r="V77" s="14"/>
      <c r="W77" s="14"/>
      <c r="X77" s="14"/>
    </row>
    <row r="78" spans="1:24" x14ac:dyDescent="0.35">
      <c r="A78" s="1"/>
      <c r="B78" s="1"/>
      <c r="C78" s="8"/>
      <c r="J78" s="9"/>
      <c r="K78" s="8"/>
      <c r="R78" s="9"/>
      <c r="U78" s="14"/>
      <c r="V78" s="14"/>
      <c r="W78" s="14"/>
      <c r="X78" s="14"/>
    </row>
    <row r="79" spans="1:24" x14ac:dyDescent="0.35">
      <c r="A79" s="1"/>
      <c r="B79" s="1"/>
      <c r="C79" s="8"/>
      <c r="J79" s="9"/>
      <c r="K79" s="8"/>
      <c r="R79" s="9"/>
      <c r="U79" s="14"/>
      <c r="V79" s="14"/>
      <c r="W79" s="14"/>
      <c r="X79" s="14"/>
    </row>
    <row r="80" spans="1:24" x14ac:dyDescent="0.35">
      <c r="A80" s="1"/>
      <c r="B80" s="1"/>
      <c r="C80" s="8"/>
      <c r="J80" s="9"/>
      <c r="K80" s="8"/>
      <c r="R80" s="9"/>
      <c r="U80" s="14"/>
      <c r="V80" s="14"/>
      <c r="W80" s="14"/>
      <c r="X80" s="14"/>
    </row>
    <row r="81" spans="1:24" x14ac:dyDescent="0.35">
      <c r="A81" s="1"/>
      <c r="B81" s="1"/>
      <c r="C81" s="8"/>
      <c r="J81" s="9"/>
      <c r="K81" s="8"/>
      <c r="R81" s="9"/>
      <c r="U81" s="14"/>
      <c r="V81" s="14"/>
      <c r="W81" s="14"/>
      <c r="X81" s="14"/>
    </row>
    <row r="82" spans="1:24" x14ac:dyDescent="0.35">
      <c r="A82" s="1"/>
      <c r="B82" s="1"/>
      <c r="C82" s="8"/>
      <c r="J82" s="9"/>
      <c r="K82" s="8"/>
      <c r="R82" s="9"/>
      <c r="U82" s="14"/>
      <c r="V82" s="14"/>
      <c r="W82" s="14"/>
      <c r="X82" s="14"/>
    </row>
    <row r="83" spans="1:24" x14ac:dyDescent="0.35">
      <c r="A83" s="1"/>
      <c r="B83" s="1"/>
      <c r="C83" s="8"/>
      <c r="J83" s="9"/>
      <c r="K83" s="8"/>
      <c r="R83" s="9"/>
      <c r="U83" s="14"/>
      <c r="V83" s="14"/>
      <c r="W83" s="14"/>
      <c r="X83" s="14"/>
    </row>
    <row r="84" spans="1:24" x14ac:dyDescent="0.35">
      <c r="A84" s="1"/>
      <c r="B84" s="1"/>
      <c r="C84" s="8"/>
      <c r="J84" s="9"/>
      <c r="K84" s="8"/>
      <c r="R84" s="9"/>
      <c r="U84" s="14"/>
      <c r="V84" s="14"/>
      <c r="W84" s="14"/>
      <c r="X84" s="14"/>
    </row>
    <row r="85" spans="1:24" x14ac:dyDescent="0.35">
      <c r="A85" s="1"/>
      <c r="B85" s="1"/>
      <c r="C85" s="8"/>
      <c r="J85" s="9"/>
      <c r="K85" s="8"/>
      <c r="R85" s="9"/>
      <c r="U85" s="14"/>
      <c r="V85" s="14"/>
      <c r="W85" s="14"/>
      <c r="X85" s="14"/>
    </row>
    <row r="86" spans="1:24" x14ac:dyDescent="0.35">
      <c r="A86" s="1"/>
      <c r="B86" s="1"/>
      <c r="C86" s="8"/>
      <c r="J86" s="9"/>
      <c r="K86" s="8"/>
      <c r="R86" s="9"/>
      <c r="U86" s="14"/>
      <c r="V86" s="14"/>
      <c r="W86" s="14"/>
      <c r="X86" s="14"/>
    </row>
    <row r="87" spans="1:24" x14ac:dyDescent="0.35">
      <c r="A87" s="1"/>
      <c r="B87" s="1"/>
      <c r="C87" s="8"/>
      <c r="J87" s="9"/>
      <c r="K87" s="8"/>
      <c r="R87" s="9"/>
      <c r="U87" s="14"/>
      <c r="V87" s="14"/>
      <c r="W87" s="14"/>
      <c r="X87" s="14"/>
    </row>
    <row r="88" spans="1:24" x14ac:dyDescent="0.35">
      <c r="A88" s="1"/>
      <c r="B88" s="1"/>
      <c r="C88" s="8"/>
      <c r="J88" s="9"/>
      <c r="K88" s="8"/>
      <c r="R88" s="9"/>
      <c r="U88" s="14"/>
      <c r="V88" s="14"/>
      <c r="W88" s="14"/>
      <c r="X88" s="14"/>
    </row>
    <row r="89" spans="1:24" x14ac:dyDescent="0.35">
      <c r="A89" s="1"/>
      <c r="B89" s="1"/>
      <c r="C89" s="8"/>
      <c r="J89" s="9"/>
      <c r="K89" s="8"/>
      <c r="R89" s="9"/>
      <c r="U89" s="14"/>
      <c r="V89" s="14"/>
      <c r="W89" s="14"/>
      <c r="X89" s="14"/>
    </row>
    <row r="90" spans="1:24" x14ac:dyDescent="0.35">
      <c r="A90" s="1"/>
      <c r="B90" s="1"/>
      <c r="C90" s="8"/>
      <c r="J90" s="9"/>
      <c r="K90" s="8"/>
      <c r="R90" s="9"/>
      <c r="U90" s="14"/>
      <c r="V90" s="14"/>
      <c r="W90" s="14"/>
      <c r="X90" s="14"/>
    </row>
    <row r="91" spans="1:24" x14ac:dyDescent="0.35">
      <c r="A91" s="1"/>
      <c r="B91" s="1"/>
      <c r="C91" s="8"/>
      <c r="J91" s="9"/>
      <c r="K91" s="8"/>
      <c r="R91" s="9"/>
      <c r="U91" s="14"/>
      <c r="V91" s="14"/>
      <c r="W91" s="14"/>
      <c r="X91" s="14"/>
    </row>
    <row r="92" spans="1:24" x14ac:dyDescent="0.35">
      <c r="A92" s="1"/>
      <c r="B92" s="1"/>
      <c r="C92" s="8"/>
      <c r="J92" s="9"/>
      <c r="K92" s="8"/>
      <c r="R92" s="9"/>
      <c r="U92" s="14"/>
      <c r="V92" s="14"/>
      <c r="W92" s="14"/>
      <c r="X92" s="14"/>
    </row>
    <row r="93" spans="1:24" x14ac:dyDescent="0.35">
      <c r="A93" s="1"/>
      <c r="B93" s="1"/>
      <c r="C93" s="8"/>
      <c r="J93" s="9"/>
      <c r="K93" s="8"/>
      <c r="R93" s="9"/>
      <c r="U93" s="14"/>
      <c r="V93" s="14"/>
      <c r="W93" s="14"/>
      <c r="X93" s="14"/>
    </row>
    <row r="94" spans="1:24" x14ac:dyDescent="0.35">
      <c r="A94" s="1"/>
      <c r="B94" s="1"/>
      <c r="C94" s="8"/>
      <c r="J94" s="9"/>
      <c r="K94" s="8"/>
      <c r="R94" s="9"/>
      <c r="U94" s="14"/>
      <c r="V94" s="14"/>
      <c r="W94" s="14"/>
      <c r="X94" s="14"/>
    </row>
    <row r="95" spans="1:24" x14ac:dyDescent="0.35">
      <c r="A95" s="1"/>
      <c r="B95" s="1"/>
      <c r="C95" s="8"/>
      <c r="J95" s="9"/>
      <c r="K95" s="8"/>
      <c r="R95" s="9"/>
      <c r="U95" s="14"/>
      <c r="V95" s="14"/>
      <c r="W95" s="14"/>
      <c r="X95" s="14"/>
    </row>
    <row r="96" spans="1:24" x14ac:dyDescent="0.35">
      <c r="A96" s="1"/>
      <c r="B96" s="1"/>
      <c r="C96" s="8"/>
      <c r="J96" s="9"/>
      <c r="K96" s="8"/>
      <c r="R96" s="9"/>
      <c r="U96" s="14"/>
      <c r="V96" s="14"/>
      <c r="W96" s="14"/>
      <c r="X96" s="14"/>
    </row>
    <row r="97" spans="1:24" x14ac:dyDescent="0.35">
      <c r="A97" s="1"/>
      <c r="B97" s="1"/>
      <c r="C97" s="8"/>
      <c r="J97" s="9"/>
      <c r="K97" s="8"/>
      <c r="R97" s="9"/>
      <c r="U97" s="14"/>
      <c r="V97" s="14"/>
      <c r="W97" s="14"/>
      <c r="X97" s="14"/>
    </row>
    <row r="98" spans="1:24" x14ac:dyDescent="0.35">
      <c r="A98" s="1"/>
      <c r="B98" s="1"/>
      <c r="C98" s="8"/>
      <c r="J98" s="9"/>
      <c r="K98" s="8"/>
      <c r="R98" s="9"/>
      <c r="U98" s="14"/>
      <c r="V98" s="14"/>
      <c r="W98" s="14"/>
      <c r="X98" s="14"/>
    </row>
    <row r="99" spans="1:24" x14ac:dyDescent="0.35">
      <c r="A99" s="1"/>
      <c r="B99" s="1"/>
      <c r="C99" s="8"/>
      <c r="J99" s="9"/>
      <c r="K99" s="8"/>
      <c r="R99" s="9"/>
      <c r="U99" s="14"/>
      <c r="V99" s="14"/>
      <c r="W99" s="14"/>
      <c r="X99" s="14"/>
    </row>
    <row r="100" spans="1:24" x14ac:dyDescent="0.35">
      <c r="A100" s="1"/>
      <c r="B100" s="1"/>
      <c r="C100" s="8"/>
      <c r="J100" s="9"/>
      <c r="K100" s="8"/>
      <c r="R100" s="9"/>
      <c r="U100" s="14"/>
      <c r="V100" s="14"/>
      <c r="W100" s="14"/>
      <c r="X100" s="14"/>
    </row>
    <row r="101" spans="1:24" x14ac:dyDescent="0.35">
      <c r="A101" s="1"/>
      <c r="B101" s="1"/>
      <c r="C101" s="8"/>
      <c r="J101" s="9"/>
      <c r="K101" s="8"/>
      <c r="R101" s="9"/>
      <c r="U101" s="14"/>
      <c r="V101" s="14"/>
      <c r="W101" s="14"/>
      <c r="X101" s="14"/>
    </row>
    <row r="102" spans="1:24" x14ac:dyDescent="0.35">
      <c r="A102" s="1"/>
      <c r="B102" s="1"/>
      <c r="C102" s="8"/>
      <c r="J102" s="9"/>
      <c r="K102" s="8"/>
      <c r="R102" s="9"/>
      <c r="U102" s="14"/>
      <c r="V102" s="14"/>
      <c r="W102" s="14"/>
      <c r="X102" s="14"/>
    </row>
    <row r="103" spans="1:24" x14ac:dyDescent="0.35">
      <c r="A103" s="1"/>
      <c r="B103" s="1"/>
      <c r="C103" s="8"/>
      <c r="J103" s="9"/>
      <c r="K103" s="8"/>
      <c r="R103" s="9"/>
      <c r="U103" s="14"/>
      <c r="V103" s="14"/>
      <c r="W103" s="14"/>
      <c r="X103" s="14"/>
    </row>
    <row r="104" spans="1:24" x14ac:dyDescent="0.35">
      <c r="A104" s="1"/>
      <c r="B104" s="1"/>
      <c r="C104" s="8"/>
      <c r="J104" s="9"/>
      <c r="K104" s="8"/>
      <c r="R104" s="9"/>
      <c r="U104" s="14"/>
      <c r="V104" s="14"/>
      <c r="W104" s="14"/>
      <c r="X104" s="14"/>
    </row>
    <row r="105" spans="1:24" x14ac:dyDescent="0.35">
      <c r="A105" s="1"/>
      <c r="B105" s="1"/>
      <c r="C105" s="8"/>
      <c r="J105" s="9"/>
      <c r="K105" s="8"/>
      <c r="R105" s="9"/>
      <c r="U105" s="14"/>
      <c r="V105" s="14"/>
      <c r="W105" s="14"/>
      <c r="X105" s="14"/>
    </row>
    <row r="106" spans="1:24" x14ac:dyDescent="0.35">
      <c r="A106" s="1"/>
      <c r="B106" s="1"/>
      <c r="C106" s="8"/>
      <c r="J106" s="9"/>
      <c r="K106" s="8"/>
      <c r="R106" s="9"/>
      <c r="U106" s="14"/>
      <c r="V106" s="14"/>
      <c r="W106" s="14"/>
      <c r="X106" s="14"/>
    </row>
    <row r="107" spans="1:24" x14ac:dyDescent="0.35">
      <c r="A107" s="1"/>
      <c r="B107" s="1"/>
      <c r="C107" s="8"/>
      <c r="J107" s="9"/>
      <c r="K107" s="8"/>
      <c r="R107" s="9"/>
      <c r="U107" s="14"/>
      <c r="V107" s="14"/>
      <c r="W107" s="14"/>
      <c r="X107" s="14"/>
    </row>
    <row r="108" spans="1:24" x14ac:dyDescent="0.35">
      <c r="A108" s="1"/>
      <c r="B108" s="1"/>
      <c r="C108" s="8"/>
      <c r="J108" s="9"/>
      <c r="K108" s="8"/>
      <c r="R108" s="9"/>
      <c r="U108" s="14"/>
      <c r="V108" s="14"/>
      <c r="W108" s="14"/>
      <c r="X108" s="14"/>
    </row>
    <row r="109" spans="1:24" x14ac:dyDescent="0.35">
      <c r="A109" s="1"/>
      <c r="B109" s="1"/>
      <c r="C109" s="8"/>
      <c r="J109" s="9"/>
      <c r="K109" s="8"/>
      <c r="R109" s="9"/>
      <c r="U109" s="14"/>
      <c r="V109" s="14"/>
      <c r="W109" s="14"/>
      <c r="X109" s="14"/>
    </row>
    <row r="110" spans="1:24" x14ac:dyDescent="0.35">
      <c r="A110" s="1"/>
      <c r="B110" s="1"/>
      <c r="C110" s="8"/>
      <c r="J110" s="9"/>
      <c r="K110" s="8"/>
      <c r="R110" s="9"/>
      <c r="U110" s="14"/>
      <c r="V110" s="14"/>
      <c r="W110" s="14"/>
      <c r="X110" s="14"/>
    </row>
    <row r="111" spans="1:24" x14ac:dyDescent="0.35">
      <c r="A111" s="1"/>
      <c r="B111" s="1"/>
      <c r="C111" s="8"/>
      <c r="J111" s="9"/>
      <c r="K111" s="8"/>
      <c r="R111" s="9"/>
      <c r="U111" s="14"/>
      <c r="V111" s="14"/>
      <c r="W111" s="14"/>
      <c r="X111" s="14"/>
    </row>
    <row r="112" spans="1:24" x14ac:dyDescent="0.35">
      <c r="A112" s="1"/>
      <c r="B112" s="1"/>
      <c r="C112" s="8"/>
      <c r="J112" s="9"/>
      <c r="K112" s="8"/>
      <c r="R112" s="9"/>
      <c r="U112" s="14"/>
      <c r="V112" s="14"/>
      <c r="W112" s="14"/>
      <c r="X112" s="14"/>
    </row>
    <row r="113" spans="1:24" x14ac:dyDescent="0.35">
      <c r="A113" s="1"/>
      <c r="B113" s="1"/>
      <c r="C113" s="8"/>
      <c r="J113" s="9"/>
      <c r="K113" s="8"/>
      <c r="R113" s="9"/>
      <c r="U113" s="14"/>
      <c r="V113" s="14"/>
      <c r="W113" s="14"/>
      <c r="X113" s="14"/>
    </row>
    <row r="114" spans="1:24" x14ac:dyDescent="0.35">
      <c r="A114" s="1"/>
      <c r="B114" s="1"/>
      <c r="C114" s="8"/>
      <c r="J114" s="9"/>
      <c r="K114" s="8"/>
      <c r="R114" s="9"/>
      <c r="U114" s="14"/>
      <c r="V114" s="14"/>
      <c r="W114" s="14"/>
      <c r="X114" s="14"/>
    </row>
    <row r="115" spans="1:24" x14ac:dyDescent="0.35">
      <c r="A115" s="1"/>
      <c r="B115" s="1"/>
      <c r="C115" s="8"/>
      <c r="J115" s="9"/>
      <c r="K115" s="8"/>
      <c r="R115" s="9"/>
      <c r="U115" s="14"/>
      <c r="V115" s="14"/>
      <c r="W115" s="14"/>
      <c r="X115" s="14"/>
    </row>
    <row r="116" spans="1:24" x14ac:dyDescent="0.35">
      <c r="A116" s="1"/>
      <c r="B116" s="1"/>
      <c r="C116" s="8"/>
      <c r="J116" s="9"/>
      <c r="K116" s="8"/>
      <c r="R116" s="9"/>
      <c r="U116" s="14"/>
      <c r="V116" s="14"/>
      <c r="W116" s="14"/>
      <c r="X116" s="14"/>
    </row>
    <row r="117" spans="1:24" x14ac:dyDescent="0.35">
      <c r="A117" s="1"/>
      <c r="B117" s="1"/>
      <c r="C117" s="8"/>
      <c r="J117" s="9"/>
      <c r="K117" s="8"/>
      <c r="R117" s="9"/>
      <c r="U117" s="14"/>
      <c r="V117" s="14"/>
      <c r="W117" s="14"/>
      <c r="X117" s="14"/>
    </row>
    <row r="118" spans="1:24" x14ac:dyDescent="0.35">
      <c r="A118" s="1"/>
      <c r="B118" s="1"/>
      <c r="C118" s="8"/>
      <c r="J118" s="9"/>
      <c r="K118" s="8"/>
      <c r="R118" s="9"/>
      <c r="U118" s="14"/>
      <c r="V118" s="14"/>
      <c r="W118" s="14"/>
      <c r="X118" s="14"/>
    </row>
    <row r="119" spans="1:24" x14ac:dyDescent="0.35">
      <c r="A119" s="1"/>
      <c r="B119" s="1"/>
      <c r="C119" s="8"/>
      <c r="J119" s="9"/>
      <c r="K119" s="8"/>
      <c r="R119" s="9"/>
      <c r="U119" s="14"/>
      <c r="V119" s="14"/>
      <c r="W119" s="14"/>
      <c r="X119" s="14"/>
    </row>
    <row r="120" spans="1:24" x14ac:dyDescent="0.35">
      <c r="A120" s="1"/>
      <c r="B120" s="1"/>
      <c r="C120" s="8"/>
      <c r="J120" s="9"/>
      <c r="K120" s="8"/>
      <c r="R120" s="9"/>
      <c r="U120" s="14"/>
      <c r="V120" s="14"/>
      <c r="W120" s="14"/>
      <c r="X120" s="14"/>
    </row>
    <row r="121" spans="1:24" x14ac:dyDescent="0.35">
      <c r="A121" s="1"/>
      <c r="B121" s="1"/>
      <c r="C121" s="8"/>
      <c r="J121" s="9"/>
      <c r="K121" s="8"/>
      <c r="R121" s="9"/>
      <c r="U121" s="14"/>
      <c r="V121" s="14"/>
      <c r="W121" s="14"/>
      <c r="X121" s="14"/>
    </row>
    <row r="122" spans="1:24" x14ac:dyDescent="0.35">
      <c r="A122" s="1"/>
      <c r="B122" s="1"/>
      <c r="C122" s="8"/>
      <c r="J122" s="9"/>
      <c r="K122" s="8"/>
      <c r="R122" s="9"/>
      <c r="U122" s="14"/>
      <c r="V122" s="14"/>
      <c r="W122" s="14"/>
      <c r="X122" s="14"/>
    </row>
    <row r="123" spans="1:24" x14ac:dyDescent="0.35">
      <c r="A123" s="1"/>
      <c r="B123" s="1"/>
      <c r="C123" s="8"/>
      <c r="J123" s="9"/>
      <c r="K123" s="8"/>
      <c r="R123" s="9"/>
      <c r="U123" s="14"/>
      <c r="V123" s="14"/>
      <c r="W123" s="14"/>
      <c r="X123" s="14"/>
    </row>
    <row r="124" spans="1:24" x14ac:dyDescent="0.35">
      <c r="A124" s="1"/>
      <c r="B124" s="1"/>
      <c r="C124" s="8"/>
      <c r="J124" s="9"/>
      <c r="K124" s="8"/>
      <c r="R124" s="9"/>
      <c r="U124" s="14"/>
      <c r="V124" s="14"/>
      <c r="W124" s="14"/>
      <c r="X124" s="14"/>
    </row>
    <row r="125" spans="1:24" x14ac:dyDescent="0.35">
      <c r="A125" s="1"/>
      <c r="B125" s="1"/>
      <c r="C125" s="8"/>
      <c r="J125" s="9"/>
      <c r="K125" s="8"/>
      <c r="R125" s="9"/>
      <c r="U125" s="14"/>
      <c r="V125" s="14"/>
      <c r="W125" s="14"/>
      <c r="X125" s="14"/>
    </row>
    <row r="126" spans="1:24" x14ac:dyDescent="0.35">
      <c r="A126" s="1"/>
      <c r="B126" s="1"/>
      <c r="C126" s="8"/>
      <c r="J126" s="9"/>
      <c r="K126" s="8"/>
      <c r="R126" s="9"/>
      <c r="U126" s="14"/>
      <c r="V126" s="14"/>
      <c r="W126" s="14"/>
      <c r="X126" s="14"/>
    </row>
    <row r="127" spans="1:24" x14ac:dyDescent="0.35">
      <c r="A127" s="1"/>
      <c r="B127" s="1"/>
      <c r="C127" s="8"/>
      <c r="J127" s="9"/>
      <c r="K127" s="8"/>
      <c r="R127" s="9"/>
      <c r="U127" s="14"/>
      <c r="V127" s="14"/>
      <c r="W127" s="14"/>
      <c r="X127" s="14"/>
    </row>
    <row r="128" spans="1:24" x14ac:dyDescent="0.35">
      <c r="A128" s="1"/>
      <c r="B128" s="1"/>
      <c r="C128" s="10"/>
      <c r="D128" s="11"/>
      <c r="E128" s="11"/>
      <c r="F128" s="11"/>
      <c r="G128" s="11"/>
      <c r="H128" s="11"/>
      <c r="I128" s="11"/>
      <c r="J128" s="12"/>
      <c r="K128" s="10"/>
      <c r="L128" s="11"/>
      <c r="M128" s="11"/>
      <c r="N128" s="11"/>
      <c r="O128" s="11"/>
      <c r="P128" s="11"/>
      <c r="Q128" s="11"/>
      <c r="R128" s="12"/>
      <c r="U128" s="2"/>
      <c r="V128" s="2"/>
      <c r="W128" s="2"/>
      <c r="X128" s="2"/>
    </row>
  </sheetData>
  <mergeCells count="7">
    <mergeCell ref="S44:T44"/>
    <mergeCell ref="S14:T14"/>
    <mergeCell ref="S19:T19"/>
    <mergeCell ref="S24:T24"/>
    <mergeCell ref="S29:T29"/>
    <mergeCell ref="S34:T34"/>
    <mergeCell ref="S39:T39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3703-21BE-44E7-B38D-90235445A827}">
  <dimension ref="A1:AB128"/>
  <sheetViews>
    <sheetView tabSelected="1" topLeftCell="P10" zoomScale="130" zoomScaleNormal="130" workbookViewId="0">
      <selection activeCell="X43" sqref="X43"/>
    </sheetView>
  </sheetViews>
  <sheetFormatPr defaultRowHeight="14.5" x14ac:dyDescent="0.35"/>
  <cols>
    <col min="1" max="1" width="10.81640625" customWidth="1"/>
    <col min="2" max="2" width="16.26953125" customWidth="1"/>
    <col min="7" max="7" width="9.90625" bestFit="1" customWidth="1"/>
    <col min="19" max="19" width="14.81640625" customWidth="1"/>
    <col min="20" max="21" width="15.1796875" bestFit="1" customWidth="1"/>
    <col min="22" max="22" width="15.54296875" bestFit="1" customWidth="1"/>
    <col min="23" max="24" width="17.7265625" bestFit="1" customWidth="1"/>
    <col min="25" max="26" width="15.54296875" bestFit="1" customWidth="1"/>
    <col min="27" max="27" width="14.90625" bestFit="1" customWidth="1"/>
  </cols>
  <sheetData>
    <row r="1" spans="1:28" x14ac:dyDescent="0.35">
      <c r="A1" t="s">
        <v>3</v>
      </c>
      <c r="U1" s="1" t="s">
        <v>27</v>
      </c>
      <c r="V1">
        <v>13</v>
      </c>
    </row>
    <row r="2" spans="1:28" x14ac:dyDescent="0.35">
      <c r="A2" t="s">
        <v>0</v>
      </c>
      <c r="C2" s="3">
        <f t="shared" ref="C2:F2" si="0">D2*2</f>
        <v>65536</v>
      </c>
      <c r="D2" s="4">
        <f t="shared" si="0"/>
        <v>32768</v>
      </c>
      <c r="E2" s="4">
        <f t="shared" si="0"/>
        <v>16384</v>
      </c>
      <c r="F2" s="4">
        <f t="shared" si="0"/>
        <v>8192</v>
      </c>
      <c r="G2" s="4">
        <f>H2*2</f>
        <v>4096</v>
      </c>
      <c r="H2" s="4">
        <v>2048</v>
      </c>
      <c r="I2" s="4">
        <v>1024</v>
      </c>
      <c r="J2" s="5">
        <v>512</v>
      </c>
      <c r="K2" s="3">
        <v>256</v>
      </c>
      <c r="L2" s="4">
        <v>128</v>
      </c>
      <c r="M2" s="4">
        <v>64</v>
      </c>
      <c r="N2" s="4">
        <v>32</v>
      </c>
      <c r="O2" s="4">
        <v>16</v>
      </c>
      <c r="P2" s="4">
        <v>8</v>
      </c>
      <c r="Q2" s="4">
        <v>4</v>
      </c>
      <c r="R2" s="5">
        <v>2</v>
      </c>
      <c r="U2" t="s">
        <v>8</v>
      </c>
      <c r="V2" t="s">
        <v>67</v>
      </c>
      <c r="W2" s="1" t="s">
        <v>4</v>
      </c>
      <c r="X2" s="1" t="s">
        <v>5</v>
      </c>
      <c r="Y2" s="1" t="s">
        <v>6</v>
      </c>
      <c r="Z2" s="1" t="s">
        <v>7</v>
      </c>
      <c r="AA2" s="9" t="s">
        <v>8</v>
      </c>
      <c r="AB2" s="25" t="s">
        <v>159</v>
      </c>
    </row>
    <row r="3" spans="1:28" x14ac:dyDescent="0.35">
      <c r="A3" t="s">
        <v>1</v>
      </c>
      <c r="C3" s="3">
        <v>128</v>
      </c>
      <c r="D3" s="4">
        <v>64</v>
      </c>
      <c r="E3" s="4">
        <v>32</v>
      </c>
      <c r="F3" s="4">
        <v>16</v>
      </c>
      <c r="G3" s="4">
        <v>8</v>
      </c>
      <c r="H3" s="4">
        <v>4</v>
      </c>
      <c r="I3" s="4">
        <v>2</v>
      </c>
      <c r="J3" s="5">
        <v>1</v>
      </c>
      <c r="K3" s="3">
        <v>128</v>
      </c>
      <c r="L3" s="4">
        <v>64</v>
      </c>
      <c r="M3" s="4">
        <v>32</v>
      </c>
      <c r="N3" s="4">
        <v>16</v>
      </c>
      <c r="O3" s="4">
        <v>8</v>
      </c>
      <c r="P3" s="4">
        <v>4</v>
      </c>
      <c r="Q3" s="4">
        <v>2</v>
      </c>
      <c r="R3" s="5">
        <v>1</v>
      </c>
      <c r="S3" s="38" t="s">
        <v>151</v>
      </c>
      <c r="T3" s="31" t="s">
        <v>70</v>
      </c>
      <c r="U3" s="31" t="s">
        <v>61</v>
      </c>
      <c r="V3" s="31">
        <v>16</v>
      </c>
      <c r="W3" s="34" t="s">
        <v>93</v>
      </c>
      <c r="X3" s="34" t="s">
        <v>95</v>
      </c>
      <c r="Y3" s="32" t="s">
        <v>106</v>
      </c>
      <c r="Z3" s="34" t="s">
        <v>107</v>
      </c>
      <c r="AA3" s="33" t="s">
        <v>94</v>
      </c>
      <c r="AB3" s="34" t="s">
        <v>95</v>
      </c>
    </row>
    <row r="4" spans="1:28" x14ac:dyDescent="0.35">
      <c r="A4" t="s">
        <v>0</v>
      </c>
      <c r="C4" s="3">
        <v>65536</v>
      </c>
      <c r="D4" s="4">
        <f>C4/2-2</f>
        <v>32766</v>
      </c>
      <c r="E4" s="4">
        <f>D4/2-1</f>
        <v>16382</v>
      </c>
      <c r="F4" s="4">
        <f>E4/2-1</f>
        <v>8190</v>
      </c>
      <c r="G4" s="4">
        <f>F4/2-1</f>
        <v>4094</v>
      </c>
      <c r="H4" s="4">
        <f t="shared" ref="H4:R4" si="1">G4/2-1</f>
        <v>2046</v>
      </c>
      <c r="I4" s="4">
        <f t="shared" si="1"/>
        <v>1022</v>
      </c>
      <c r="J4" s="5">
        <f t="shared" si="1"/>
        <v>510</v>
      </c>
      <c r="K4" s="3">
        <f t="shared" si="1"/>
        <v>254</v>
      </c>
      <c r="L4" s="4">
        <f t="shared" si="1"/>
        <v>126</v>
      </c>
      <c r="M4" s="4">
        <f t="shared" si="1"/>
        <v>62</v>
      </c>
      <c r="N4" s="4">
        <f t="shared" si="1"/>
        <v>30</v>
      </c>
      <c r="O4" s="4">
        <f t="shared" si="1"/>
        <v>14</v>
      </c>
      <c r="P4" s="4">
        <f t="shared" si="1"/>
        <v>6</v>
      </c>
      <c r="Q4" s="4">
        <f t="shared" si="1"/>
        <v>2</v>
      </c>
      <c r="R4" s="5">
        <f t="shared" si="1"/>
        <v>0</v>
      </c>
      <c r="S4" t="s">
        <v>152</v>
      </c>
      <c r="T4" s="17" t="s">
        <v>71</v>
      </c>
      <c r="U4" s="17" t="s">
        <v>63</v>
      </c>
      <c r="V4" s="17">
        <v>30</v>
      </c>
      <c r="W4" s="20" t="s">
        <v>96</v>
      </c>
      <c r="X4" s="20" t="s">
        <v>108</v>
      </c>
      <c r="Y4" s="30" t="s">
        <v>109</v>
      </c>
      <c r="Z4" s="20" t="s">
        <v>97</v>
      </c>
      <c r="AA4" s="18" t="s">
        <v>65</v>
      </c>
      <c r="AB4" s="20" t="s">
        <v>108</v>
      </c>
    </row>
    <row r="5" spans="1:28" x14ac:dyDescent="0.35">
      <c r="A5" t="s">
        <v>2</v>
      </c>
      <c r="C5" s="3">
        <v>16</v>
      </c>
      <c r="D5" s="4">
        <v>15</v>
      </c>
      <c r="E5" s="4">
        <v>14</v>
      </c>
      <c r="F5" s="4">
        <v>13</v>
      </c>
      <c r="G5" s="4">
        <v>12</v>
      </c>
      <c r="H5" s="4">
        <v>11</v>
      </c>
      <c r="I5" s="4">
        <v>10</v>
      </c>
      <c r="J5" s="5">
        <v>9</v>
      </c>
      <c r="K5" s="3">
        <v>8</v>
      </c>
      <c r="L5" s="4">
        <v>7</v>
      </c>
      <c r="M5" s="4">
        <v>6</v>
      </c>
      <c r="N5" s="4">
        <v>5</v>
      </c>
      <c r="O5" s="4">
        <v>4</v>
      </c>
      <c r="P5" s="4">
        <v>3</v>
      </c>
      <c r="Q5" s="4">
        <v>2</v>
      </c>
      <c r="R5" s="5">
        <v>1</v>
      </c>
      <c r="S5" t="s">
        <v>153</v>
      </c>
      <c r="T5" s="31" t="s">
        <v>72</v>
      </c>
      <c r="U5" s="31" t="s">
        <v>52</v>
      </c>
      <c r="V5" s="31">
        <v>16</v>
      </c>
      <c r="W5" s="32" t="s">
        <v>110</v>
      </c>
      <c r="X5" s="32" t="s">
        <v>111</v>
      </c>
      <c r="Y5" s="32" t="s">
        <v>112</v>
      </c>
      <c r="Z5" s="32" t="s">
        <v>113</v>
      </c>
      <c r="AA5" s="33" t="s">
        <v>94</v>
      </c>
      <c r="AB5" s="32" t="s">
        <v>111</v>
      </c>
    </row>
    <row r="6" spans="1:28" x14ac:dyDescent="0.35">
      <c r="A6" s="1">
        <v>255</v>
      </c>
      <c r="B6" s="1">
        <v>16</v>
      </c>
      <c r="C6" s="19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7">
        <v>1</v>
      </c>
      <c r="K6" s="19">
        <v>1</v>
      </c>
      <c r="L6" s="6">
        <v>1</v>
      </c>
      <c r="M6" s="6">
        <v>0</v>
      </c>
      <c r="N6" s="6">
        <v>0</v>
      </c>
      <c r="O6" s="6">
        <v>0</v>
      </c>
      <c r="P6" s="6">
        <v>0</v>
      </c>
      <c r="Q6" s="6"/>
      <c r="R6" s="7"/>
      <c r="S6" t="s">
        <v>154</v>
      </c>
      <c r="T6" s="31" t="s">
        <v>73</v>
      </c>
      <c r="U6" s="31" t="s">
        <v>23</v>
      </c>
      <c r="V6" s="31">
        <v>16</v>
      </c>
      <c r="W6" s="32" t="s">
        <v>98</v>
      </c>
      <c r="X6" s="32" t="s">
        <v>101</v>
      </c>
      <c r="Y6" s="32" t="s">
        <v>114</v>
      </c>
      <c r="Z6" s="32" t="s">
        <v>115</v>
      </c>
      <c r="AA6" s="33" t="s">
        <v>94</v>
      </c>
      <c r="AB6" s="32" t="s">
        <v>101</v>
      </c>
    </row>
    <row r="7" spans="1:28" x14ac:dyDescent="0.35">
      <c r="A7" s="15">
        <v>192</v>
      </c>
      <c r="B7" s="15">
        <v>168</v>
      </c>
      <c r="C7" s="16">
        <v>1</v>
      </c>
      <c r="D7" s="17">
        <v>1</v>
      </c>
      <c r="E7" s="17">
        <v>1</v>
      </c>
      <c r="F7" s="17">
        <v>1</v>
      </c>
      <c r="G7" s="17">
        <v>1</v>
      </c>
      <c r="H7" s="17">
        <v>1</v>
      </c>
      <c r="I7" s="17">
        <v>1</v>
      </c>
      <c r="J7" s="18">
        <v>1</v>
      </c>
      <c r="K7" s="16">
        <v>1</v>
      </c>
      <c r="L7" s="17">
        <v>1</v>
      </c>
      <c r="M7" s="23">
        <v>1</v>
      </c>
      <c r="N7" s="17">
        <v>1</v>
      </c>
      <c r="O7">
        <v>0</v>
      </c>
      <c r="P7">
        <v>0</v>
      </c>
      <c r="Q7">
        <v>0</v>
      </c>
      <c r="R7" s="9">
        <v>0</v>
      </c>
      <c r="S7" t="s">
        <v>155</v>
      </c>
      <c r="T7" s="31" t="s">
        <v>74</v>
      </c>
      <c r="U7" s="31" t="s">
        <v>24</v>
      </c>
      <c r="V7" s="31">
        <v>16</v>
      </c>
      <c r="W7" s="32" t="s">
        <v>116</v>
      </c>
      <c r="X7" s="32" t="s">
        <v>117</v>
      </c>
      <c r="Y7" s="32" t="s">
        <v>102</v>
      </c>
      <c r="Z7" s="32" t="s">
        <v>105</v>
      </c>
      <c r="AA7" s="33" t="s">
        <v>94</v>
      </c>
      <c r="AB7" s="32" t="s">
        <v>117</v>
      </c>
    </row>
    <row r="8" spans="1:28" x14ac:dyDescent="0.35">
      <c r="A8" s="1"/>
      <c r="B8" s="1"/>
      <c r="C8" s="8"/>
      <c r="J8" s="9"/>
      <c r="K8" s="8"/>
      <c r="N8">
        <v>1</v>
      </c>
      <c r="O8">
        <v>1</v>
      </c>
      <c r="P8">
        <v>1</v>
      </c>
      <c r="Q8">
        <v>1</v>
      </c>
      <c r="R8" s="9">
        <v>1</v>
      </c>
      <c r="S8" t="s">
        <v>156</v>
      </c>
      <c r="T8" s="31" t="s">
        <v>75</v>
      </c>
      <c r="U8" s="31" t="s">
        <v>68</v>
      </c>
      <c r="V8" s="31">
        <v>16</v>
      </c>
      <c r="W8" s="32" t="s">
        <v>99</v>
      </c>
      <c r="X8" s="32" t="s">
        <v>100</v>
      </c>
      <c r="Y8" s="32" t="s">
        <v>118</v>
      </c>
      <c r="Z8" s="32" t="s">
        <v>119</v>
      </c>
      <c r="AA8" s="33" t="s">
        <v>94</v>
      </c>
      <c r="AB8" s="32" t="s">
        <v>100</v>
      </c>
    </row>
    <row r="9" spans="1:28" x14ac:dyDescent="0.35">
      <c r="A9" s="1"/>
      <c r="B9" s="1"/>
      <c r="C9" s="8"/>
      <c r="G9" t="s">
        <v>62</v>
      </c>
      <c r="J9" s="9"/>
      <c r="K9" s="8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 s="9">
        <v>0</v>
      </c>
      <c r="T9" s="35" t="s">
        <v>76</v>
      </c>
      <c r="U9" s="35" t="s">
        <v>69</v>
      </c>
      <c r="V9" s="35">
        <v>16</v>
      </c>
      <c r="W9" s="36" t="s">
        <v>120</v>
      </c>
      <c r="X9" s="36" t="s">
        <v>121</v>
      </c>
      <c r="Y9" s="36" t="s">
        <v>103</v>
      </c>
      <c r="Z9" s="36" t="s">
        <v>104</v>
      </c>
      <c r="AA9" s="37" t="s">
        <v>94</v>
      </c>
      <c r="AB9" s="36" t="s">
        <v>121</v>
      </c>
    </row>
    <row r="10" spans="1:28" x14ac:dyDescent="0.35">
      <c r="A10" s="1"/>
      <c r="B10" s="1"/>
      <c r="C10" s="8"/>
      <c r="J10" s="9"/>
      <c r="K10" s="8">
        <v>0</v>
      </c>
      <c r="L10">
        <v>0</v>
      </c>
      <c r="M10">
        <v>1</v>
      </c>
      <c r="N10">
        <v>0</v>
      </c>
      <c r="O10">
        <v>0</v>
      </c>
      <c r="Q10">
        <v>0</v>
      </c>
      <c r="R10" s="9">
        <v>1</v>
      </c>
      <c r="U10" s="14"/>
      <c r="V10" s="14"/>
      <c r="W10" s="14"/>
      <c r="X10" s="14"/>
      <c r="Y10" s="9"/>
    </row>
    <row r="11" spans="1:28" x14ac:dyDescent="0.35">
      <c r="A11" s="1"/>
      <c r="B11" s="1"/>
      <c r="C11" s="8"/>
      <c r="J11" s="9"/>
      <c r="K11" s="8"/>
      <c r="N11">
        <v>1</v>
      </c>
      <c r="O11">
        <v>0</v>
      </c>
      <c r="P11">
        <v>0</v>
      </c>
      <c r="Q11">
        <v>0</v>
      </c>
      <c r="R11" s="9">
        <v>0</v>
      </c>
      <c r="T11" t="s">
        <v>78</v>
      </c>
      <c r="U11" s="14"/>
      <c r="V11" s="14"/>
      <c r="W11" s="14"/>
      <c r="X11" s="14"/>
    </row>
    <row r="12" spans="1:28" x14ac:dyDescent="0.35">
      <c r="A12" s="1"/>
      <c r="B12" s="1"/>
      <c r="C12" s="8"/>
      <c r="J12" s="9"/>
      <c r="K12" s="8"/>
      <c r="R12" s="9"/>
      <c r="T12" t="s">
        <v>79</v>
      </c>
      <c r="U12" s="14"/>
      <c r="V12" s="14"/>
      <c r="W12" s="14"/>
      <c r="X12" s="14"/>
    </row>
    <row r="13" spans="1:28" x14ac:dyDescent="0.35">
      <c r="A13" s="1"/>
      <c r="B13" s="1"/>
      <c r="C13" s="8"/>
      <c r="G13">
        <v>198.16200000000001</v>
      </c>
      <c r="J13" s="9"/>
      <c r="K13" s="8"/>
      <c r="R13" s="9"/>
      <c r="T13" t="s">
        <v>80</v>
      </c>
      <c r="W13" s="14"/>
      <c r="X13" s="14"/>
    </row>
    <row r="14" spans="1:28" x14ac:dyDescent="0.35">
      <c r="A14" s="1"/>
      <c r="B14" s="1"/>
      <c r="C14" s="8"/>
      <c r="G14">
        <v>172.16</v>
      </c>
      <c r="J14" s="9"/>
      <c r="K14" s="8"/>
      <c r="W14" s="14"/>
      <c r="X14" s="14"/>
    </row>
    <row r="15" spans="1:28" x14ac:dyDescent="0.35">
      <c r="A15" s="1"/>
      <c r="B15" s="1"/>
      <c r="C15" s="8"/>
      <c r="J15" s="9"/>
      <c r="K15" s="8"/>
      <c r="R15" s="9"/>
      <c r="W15" s="14"/>
      <c r="X15" s="14"/>
    </row>
    <row r="16" spans="1:28" x14ac:dyDescent="0.35">
      <c r="A16" s="1"/>
      <c r="B16" s="1"/>
      <c r="C16" s="8"/>
      <c r="J16" s="9"/>
      <c r="K16" s="8"/>
      <c r="R16" s="9"/>
      <c r="U16" s="14"/>
      <c r="V16" s="14"/>
      <c r="W16" s="14"/>
      <c r="X16" s="14"/>
    </row>
    <row r="17" spans="1:25" x14ac:dyDescent="0.35">
      <c r="A17" s="1"/>
      <c r="B17" s="1"/>
      <c r="C17" s="8"/>
      <c r="J17" s="9"/>
      <c r="K17" s="8"/>
      <c r="R17" s="9"/>
      <c r="U17" s="9"/>
      <c r="V17" s="14"/>
      <c r="W17" s="14"/>
      <c r="X17" s="14"/>
    </row>
    <row r="18" spans="1:25" x14ac:dyDescent="0.35">
      <c r="A18" s="1"/>
      <c r="B18" s="1"/>
      <c r="C18" s="8"/>
      <c r="J18" s="9"/>
      <c r="K18" s="8"/>
      <c r="R18" s="9"/>
      <c r="U18" s="14"/>
      <c r="V18" s="14"/>
      <c r="W18" s="14"/>
      <c r="X18" s="14"/>
    </row>
    <row r="19" spans="1:25" x14ac:dyDescent="0.35">
      <c r="A19" s="1"/>
      <c r="B19" s="1"/>
      <c r="C19" s="8"/>
      <c r="J19" s="9"/>
      <c r="K19" s="8"/>
      <c r="R19" s="9"/>
      <c r="U19" s="9"/>
      <c r="V19" s="14"/>
      <c r="W19" s="14"/>
      <c r="X19" s="14"/>
    </row>
    <row r="20" spans="1:25" x14ac:dyDescent="0.35">
      <c r="A20" s="1"/>
      <c r="B20" s="1"/>
      <c r="C20" s="8"/>
      <c r="J20" s="9"/>
      <c r="K20" s="8"/>
      <c r="R20" s="9"/>
      <c r="U20" s="9"/>
      <c r="V20" s="14"/>
      <c r="W20" s="14"/>
      <c r="X20" s="14"/>
    </row>
    <row r="21" spans="1:25" x14ac:dyDescent="0.35">
      <c r="A21" s="1"/>
      <c r="B21" s="1"/>
      <c r="C21" s="8"/>
      <c r="J21" s="9"/>
      <c r="K21" s="8"/>
      <c r="R21" s="9"/>
      <c r="U21" s="14"/>
      <c r="V21" s="14"/>
      <c r="W21" s="14"/>
      <c r="X21" s="14"/>
    </row>
    <row r="22" spans="1:25" x14ac:dyDescent="0.35">
      <c r="A22" s="1"/>
      <c r="B22" s="1"/>
      <c r="C22" s="8"/>
      <c r="J22" s="9"/>
      <c r="K22" s="8"/>
      <c r="R22" s="9"/>
      <c r="S22" s="14" t="s">
        <v>77</v>
      </c>
      <c r="T22" s="14" t="s">
        <v>59</v>
      </c>
      <c r="U22" s="9"/>
      <c r="V22" s="14"/>
      <c r="W22" s="14"/>
      <c r="X22" s="14"/>
    </row>
    <row r="23" spans="1:25" x14ac:dyDescent="0.35">
      <c r="A23" s="1"/>
      <c r="B23" s="1"/>
      <c r="C23" s="8"/>
      <c r="J23" s="9"/>
      <c r="K23" s="8"/>
      <c r="R23" s="9"/>
      <c r="S23" s="9"/>
      <c r="T23" s="14"/>
      <c r="U23" s="14"/>
      <c r="V23" s="14"/>
      <c r="W23" s="14"/>
      <c r="X23" s="14"/>
    </row>
    <row r="24" spans="1:25" x14ac:dyDescent="0.35">
      <c r="A24" s="1"/>
      <c r="B24" s="1"/>
      <c r="C24" s="8"/>
      <c r="J24" s="9"/>
      <c r="K24" s="8"/>
      <c r="R24" s="9"/>
      <c r="U24" s="9"/>
      <c r="V24" s="14"/>
      <c r="W24" s="14"/>
      <c r="X24" s="14"/>
    </row>
    <row r="25" spans="1:25" x14ac:dyDescent="0.35">
      <c r="A25" s="1"/>
      <c r="B25" s="1"/>
      <c r="C25" s="8"/>
      <c r="J25" s="9"/>
      <c r="K25" s="8"/>
      <c r="R25" s="9"/>
      <c r="U25" s="9"/>
      <c r="V25" s="14"/>
      <c r="W25" s="14"/>
      <c r="X25" s="14"/>
    </row>
    <row r="26" spans="1:25" ht="15" thickBot="1" x14ac:dyDescent="0.4">
      <c r="A26" s="1"/>
      <c r="B26" s="1"/>
      <c r="C26" s="8"/>
      <c r="J26" s="9"/>
      <c r="K26" s="8"/>
      <c r="R26" s="9"/>
      <c r="U26" s="14"/>
      <c r="V26" s="14"/>
      <c r="W26" s="14"/>
      <c r="X26" s="14"/>
    </row>
    <row r="27" spans="1:25" ht="15" thickBot="1" x14ac:dyDescent="0.4">
      <c r="A27" s="1"/>
      <c r="B27" s="1"/>
      <c r="C27" s="8"/>
      <c r="J27" s="9"/>
      <c r="K27" s="8"/>
      <c r="R27" s="9"/>
      <c r="T27" t="s">
        <v>159</v>
      </c>
      <c r="U27" s="28" t="s">
        <v>70</v>
      </c>
      <c r="V27" s="29"/>
      <c r="W27" s="9"/>
      <c r="X27" s="14"/>
      <c r="Y27" t="s">
        <v>144</v>
      </c>
    </row>
    <row r="28" spans="1:25" x14ac:dyDescent="0.35">
      <c r="A28" s="1"/>
      <c r="B28" s="1"/>
      <c r="C28" s="8"/>
      <c r="J28" s="9"/>
      <c r="K28" s="8"/>
      <c r="R28" s="9"/>
      <c r="T28" s="34" t="s">
        <v>60</v>
      </c>
      <c r="U28" s="26" t="s">
        <v>81</v>
      </c>
      <c r="V28" s="34" t="s">
        <v>122</v>
      </c>
      <c r="W28" s="33" t="s">
        <v>94</v>
      </c>
      <c r="X28" s="14" t="s">
        <v>145</v>
      </c>
      <c r="Y28" s="24" t="s">
        <v>60</v>
      </c>
    </row>
    <row r="29" spans="1:25" ht="15" thickBot="1" x14ac:dyDescent="0.4">
      <c r="A29" s="1"/>
      <c r="B29" s="1"/>
      <c r="C29" s="8"/>
      <c r="J29" s="9"/>
      <c r="K29" s="8"/>
      <c r="R29" s="9"/>
      <c r="T29" s="34" t="s">
        <v>60</v>
      </c>
      <c r="U29" s="27" t="s">
        <v>82</v>
      </c>
      <c r="V29" s="32" t="s">
        <v>160</v>
      </c>
      <c r="W29" s="33" t="s">
        <v>94</v>
      </c>
      <c r="X29" s="14" t="s">
        <v>146</v>
      </c>
    </row>
    <row r="30" spans="1:25" x14ac:dyDescent="0.35">
      <c r="A30" s="1"/>
      <c r="B30" s="1"/>
      <c r="C30" s="8"/>
      <c r="J30" s="9"/>
      <c r="K30" s="8"/>
      <c r="R30" s="9"/>
      <c r="T30" s="34" t="s">
        <v>60</v>
      </c>
      <c r="U30" s="25" t="s">
        <v>126</v>
      </c>
      <c r="V30" s="32" t="s">
        <v>143</v>
      </c>
      <c r="W30" s="33" t="s">
        <v>94</v>
      </c>
      <c r="X30" s="14" t="s">
        <v>147</v>
      </c>
    </row>
    <row r="31" spans="1:25" ht="15" thickBot="1" x14ac:dyDescent="0.4">
      <c r="A31" s="1"/>
      <c r="B31" s="1"/>
      <c r="C31" s="8"/>
      <c r="J31" s="9"/>
      <c r="K31" s="8"/>
      <c r="R31" s="9"/>
      <c r="T31" s="34" t="s">
        <v>60</v>
      </c>
      <c r="U31" s="25" t="s">
        <v>132</v>
      </c>
      <c r="V31" s="32" t="s">
        <v>106</v>
      </c>
      <c r="W31" s="33" t="s">
        <v>94</v>
      </c>
      <c r="X31" s="14" t="s">
        <v>148</v>
      </c>
    </row>
    <row r="32" spans="1:25" ht="15" thickBot="1" x14ac:dyDescent="0.4">
      <c r="A32" s="1"/>
      <c r="B32" s="1"/>
      <c r="C32" s="8"/>
      <c r="J32" s="9"/>
      <c r="K32" s="8"/>
      <c r="R32" s="9"/>
      <c r="U32" s="28" t="s">
        <v>71</v>
      </c>
      <c r="V32" s="29"/>
      <c r="X32" s="14" t="s">
        <v>149</v>
      </c>
    </row>
    <row r="33" spans="1:24" x14ac:dyDescent="0.35">
      <c r="A33" s="1"/>
      <c r="B33" s="1"/>
      <c r="C33" s="8"/>
      <c r="J33" s="9"/>
      <c r="K33" s="8"/>
      <c r="R33" s="9"/>
      <c r="T33" s="20" t="s">
        <v>64</v>
      </c>
      <c r="U33" s="26" t="s">
        <v>83</v>
      </c>
      <c r="V33" s="20" t="s">
        <v>170</v>
      </c>
      <c r="W33" s="18" t="s">
        <v>65</v>
      </c>
      <c r="X33" s="14" t="s">
        <v>150</v>
      </c>
    </row>
    <row r="34" spans="1:24" ht="15" thickBot="1" x14ac:dyDescent="0.4">
      <c r="A34" s="1"/>
      <c r="B34" s="1"/>
      <c r="C34" s="8"/>
      <c r="J34" s="9"/>
      <c r="K34" s="8"/>
      <c r="R34" s="9"/>
      <c r="T34" s="20" t="s">
        <v>64</v>
      </c>
      <c r="U34" s="27" t="s">
        <v>84</v>
      </c>
      <c r="V34" s="30" t="s">
        <v>172</v>
      </c>
      <c r="W34" s="18" t="s">
        <v>65</v>
      </c>
      <c r="X34" s="14"/>
    </row>
    <row r="35" spans="1:24" x14ac:dyDescent="0.35">
      <c r="A35" s="1"/>
      <c r="B35" s="1"/>
      <c r="C35" s="8"/>
      <c r="J35" s="9"/>
      <c r="K35" s="8"/>
      <c r="R35" s="9"/>
      <c r="T35" s="20" t="s">
        <v>64</v>
      </c>
      <c r="U35" s="25" t="s">
        <v>133</v>
      </c>
      <c r="V35" s="30" t="s">
        <v>171</v>
      </c>
      <c r="W35" s="18" t="s">
        <v>65</v>
      </c>
      <c r="X35" s="14"/>
    </row>
    <row r="36" spans="1:24" ht="15" thickBot="1" x14ac:dyDescent="0.4">
      <c r="A36" s="1"/>
      <c r="B36" s="1"/>
      <c r="C36" s="8"/>
      <c r="J36" s="9"/>
      <c r="K36" s="8"/>
      <c r="R36" s="9"/>
      <c r="T36" s="20" t="s">
        <v>64</v>
      </c>
      <c r="U36" s="25" t="s">
        <v>131</v>
      </c>
      <c r="V36" s="30" t="s">
        <v>37</v>
      </c>
      <c r="W36" s="18" t="s">
        <v>65</v>
      </c>
      <c r="X36" s="14"/>
    </row>
    <row r="37" spans="1:24" ht="15" thickBot="1" x14ac:dyDescent="0.4">
      <c r="A37" s="1"/>
      <c r="B37" s="1"/>
      <c r="C37" s="8"/>
      <c r="J37" s="9"/>
      <c r="K37" s="8"/>
      <c r="R37" s="9"/>
      <c r="U37" s="28" t="s">
        <v>72</v>
      </c>
      <c r="V37" s="29"/>
      <c r="X37" s="14"/>
    </row>
    <row r="38" spans="1:24" x14ac:dyDescent="0.35">
      <c r="A38" s="1"/>
      <c r="B38" s="1"/>
      <c r="C38" s="8"/>
      <c r="J38" s="9"/>
      <c r="K38" s="8"/>
      <c r="R38" s="9"/>
      <c r="T38" s="32" t="s">
        <v>165</v>
      </c>
      <c r="U38" s="26" t="s">
        <v>85</v>
      </c>
      <c r="V38" s="32" t="s">
        <v>123</v>
      </c>
      <c r="W38" s="33" t="s">
        <v>94</v>
      </c>
      <c r="X38" s="14"/>
    </row>
    <row r="39" spans="1:24" ht="15" thickBot="1" x14ac:dyDescent="0.4">
      <c r="A39" s="1"/>
      <c r="B39" s="1"/>
      <c r="C39" s="8"/>
      <c r="J39" s="9"/>
      <c r="K39" s="8"/>
      <c r="R39" s="9"/>
      <c r="T39" s="32" t="s">
        <v>165</v>
      </c>
      <c r="U39" s="27" t="s">
        <v>86</v>
      </c>
      <c r="V39" s="32" t="s">
        <v>161</v>
      </c>
      <c r="W39" s="33" t="s">
        <v>94</v>
      </c>
      <c r="X39" s="14"/>
    </row>
    <row r="40" spans="1:24" x14ac:dyDescent="0.35">
      <c r="A40" s="1"/>
      <c r="B40" s="1"/>
      <c r="C40" s="8"/>
      <c r="J40" s="9"/>
      <c r="K40" s="8"/>
      <c r="R40" s="9"/>
      <c r="T40" s="32" t="s">
        <v>165</v>
      </c>
      <c r="U40" s="25" t="s">
        <v>134</v>
      </c>
      <c r="V40" s="32" t="s">
        <v>142</v>
      </c>
      <c r="W40" s="33" t="s">
        <v>94</v>
      </c>
      <c r="X40" s="14"/>
    </row>
    <row r="41" spans="1:24" ht="15" thickBot="1" x14ac:dyDescent="0.4">
      <c r="A41" s="1"/>
      <c r="B41" s="1"/>
      <c r="C41" s="8"/>
      <c r="J41" s="9"/>
      <c r="K41" s="8"/>
      <c r="R41" s="9"/>
      <c r="T41" s="32" t="s">
        <v>165</v>
      </c>
      <c r="U41" s="25" t="s">
        <v>130</v>
      </c>
      <c r="V41" s="32" t="s">
        <v>112</v>
      </c>
      <c r="W41" s="33" t="s">
        <v>94</v>
      </c>
      <c r="X41" s="14"/>
    </row>
    <row r="42" spans="1:24" ht="15" thickBot="1" x14ac:dyDescent="0.4">
      <c r="A42" s="1"/>
      <c r="B42" s="1"/>
      <c r="C42" s="8"/>
      <c r="J42" s="9"/>
      <c r="K42" s="8"/>
      <c r="R42" s="9"/>
      <c r="U42" s="28" t="s">
        <v>73</v>
      </c>
      <c r="V42" s="29"/>
      <c r="X42" s="14"/>
    </row>
    <row r="43" spans="1:24" x14ac:dyDescent="0.35">
      <c r="A43" s="1"/>
      <c r="B43" s="1"/>
      <c r="C43" s="8"/>
      <c r="J43" s="9"/>
      <c r="K43" s="8"/>
      <c r="R43" s="9"/>
      <c r="T43" s="32" t="s">
        <v>166</v>
      </c>
      <c r="U43" s="26" t="s">
        <v>87</v>
      </c>
      <c r="V43" s="32" t="s">
        <v>124</v>
      </c>
      <c r="W43" s="33" t="s">
        <v>94</v>
      </c>
      <c r="X43" s="14"/>
    </row>
    <row r="44" spans="1:24" ht="15" thickBot="1" x14ac:dyDescent="0.4">
      <c r="A44" s="1"/>
      <c r="B44" s="1"/>
      <c r="C44" s="8"/>
      <c r="J44" s="9"/>
      <c r="K44" s="8"/>
      <c r="R44" s="9"/>
      <c r="T44" s="32" t="s">
        <v>166</v>
      </c>
      <c r="U44" s="27" t="s">
        <v>88</v>
      </c>
      <c r="V44" s="32" t="s">
        <v>162</v>
      </c>
      <c r="W44" s="33" t="s">
        <v>94</v>
      </c>
      <c r="X44" s="14"/>
    </row>
    <row r="45" spans="1:24" x14ac:dyDescent="0.35">
      <c r="A45" s="1"/>
      <c r="B45" s="1"/>
      <c r="C45" s="8"/>
      <c r="J45" s="9"/>
      <c r="K45" s="8"/>
      <c r="R45" s="9"/>
      <c r="T45" s="32" t="s">
        <v>166</v>
      </c>
      <c r="U45" s="25" t="s">
        <v>135</v>
      </c>
      <c r="V45" s="32" t="s">
        <v>141</v>
      </c>
      <c r="W45" s="33" t="s">
        <v>94</v>
      </c>
      <c r="X45" s="14"/>
    </row>
    <row r="46" spans="1:24" ht="15" thickBot="1" x14ac:dyDescent="0.4">
      <c r="A46" s="1"/>
      <c r="B46" s="1"/>
      <c r="C46" s="8"/>
      <c r="J46" s="9"/>
      <c r="K46" s="8"/>
      <c r="R46" s="9"/>
      <c r="T46" s="32" t="s">
        <v>166</v>
      </c>
      <c r="U46" s="25" t="s">
        <v>129</v>
      </c>
      <c r="V46" s="32" t="s">
        <v>114</v>
      </c>
      <c r="W46" s="33" t="s">
        <v>94</v>
      </c>
      <c r="X46" s="14"/>
    </row>
    <row r="47" spans="1:24" ht="15" thickBot="1" x14ac:dyDescent="0.4">
      <c r="A47" s="1"/>
      <c r="B47" s="1"/>
      <c r="C47" s="8"/>
      <c r="J47" s="9"/>
      <c r="K47" s="8"/>
      <c r="R47" s="9"/>
      <c r="U47" s="28" t="s">
        <v>74</v>
      </c>
      <c r="V47" s="29"/>
      <c r="X47" s="14"/>
    </row>
    <row r="48" spans="1:24" x14ac:dyDescent="0.35">
      <c r="A48" s="1"/>
      <c r="B48" s="1"/>
      <c r="C48" s="8"/>
      <c r="J48" s="9"/>
      <c r="K48" s="8"/>
      <c r="R48" s="9"/>
      <c r="T48" s="32" t="s">
        <v>167</v>
      </c>
      <c r="U48" s="26" t="s">
        <v>89</v>
      </c>
      <c r="V48" s="32" t="s">
        <v>125</v>
      </c>
      <c r="W48" s="33" t="s">
        <v>94</v>
      </c>
      <c r="X48" s="14"/>
    </row>
    <row r="49" spans="1:24" ht="15" thickBot="1" x14ac:dyDescent="0.4">
      <c r="A49" s="1"/>
      <c r="B49" s="1"/>
      <c r="C49" s="8"/>
      <c r="J49" s="9"/>
      <c r="K49" s="8"/>
      <c r="R49" s="9"/>
      <c r="T49" s="32" t="s">
        <v>167</v>
      </c>
      <c r="U49" s="27" t="s">
        <v>90</v>
      </c>
      <c r="V49" s="32" t="s">
        <v>163</v>
      </c>
      <c r="W49" s="33" t="s">
        <v>94</v>
      </c>
      <c r="X49" s="14"/>
    </row>
    <row r="50" spans="1:24" x14ac:dyDescent="0.35">
      <c r="A50" s="1"/>
      <c r="B50" s="1"/>
      <c r="C50" s="8"/>
      <c r="J50" s="9"/>
      <c r="K50" s="8"/>
      <c r="R50" s="9"/>
      <c r="T50" s="32" t="s">
        <v>167</v>
      </c>
      <c r="U50" s="25" t="s">
        <v>136</v>
      </c>
      <c r="V50" s="32" t="s">
        <v>140</v>
      </c>
      <c r="W50" s="33" t="s">
        <v>94</v>
      </c>
      <c r="X50" s="14"/>
    </row>
    <row r="51" spans="1:24" ht="15" thickBot="1" x14ac:dyDescent="0.4">
      <c r="A51" s="1"/>
      <c r="B51" s="1"/>
      <c r="C51" s="8"/>
      <c r="J51" s="9"/>
      <c r="K51" s="8"/>
      <c r="R51" s="9"/>
      <c r="T51" s="32" t="s">
        <v>167</v>
      </c>
      <c r="U51" s="25" t="s">
        <v>128</v>
      </c>
      <c r="V51" s="32" t="s">
        <v>102</v>
      </c>
      <c r="W51" s="33" t="s">
        <v>94</v>
      </c>
      <c r="X51" s="14"/>
    </row>
    <row r="52" spans="1:24" ht="15" thickBot="1" x14ac:dyDescent="0.4">
      <c r="A52" s="1"/>
      <c r="B52" s="1"/>
      <c r="C52" s="8"/>
      <c r="J52" s="9"/>
      <c r="K52" s="8"/>
      <c r="R52" s="9"/>
      <c r="U52" s="28" t="s">
        <v>75</v>
      </c>
      <c r="V52" s="29"/>
      <c r="X52" s="14"/>
    </row>
    <row r="53" spans="1:24" x14ac:dyDescent="0.35">
      <c r="A53" s="1"/>
      <c r="B53" s="1"/>
      <c r="C53" s="8"/>
      <c r="J53" s="9"/>
      <c r="K53" s="8"/>
      <c r="R53" s="9"/>
      <c r="T53" s="32" t="s">
        <v>168</v>
      </c>
      <c r="U53" s="26" t="s">
        <v>91</v>
      </c>
      <c r="V53" s="32" t="s">
        <v>66</v>
      </c>
      <c r="W53" s="33" t="s">
        <v>94</v>
      </c>
      <c r="X53" s="14"/>
    </row>
    <row r="54" spans="1:24" ht="15" thickBot="1" x14ac:dyDescent="0.4">
      <c r="A54" s="1"/>
      <c r="B54" s="1"/>
      <c r="C54" s="8"/>
      <c r="J54" s="9"/>
      <c r="K54" s="8"/>
      <c r="R54" s="9"/>
      <c r="T54" s="32" t="s">
        <v>168</v>
      </c>
      <c r="U54" s="27" t="s">
        <v>92</v>
      </c>
      <c r="V54" s="32" t="s">
        <v>138</v>
      </c>
      <c r="W54" s="33" t="s">
        <v>94</v>
      </c>
      <c r="X54" s="14"/>
    </row>
    <row r="55" spans="1:24" x14ac:dyDescent="0.35">
      <c r="A55" s="1"/>
      <c r="B55" s="1"/>
      <c r="C55" s="8"/>
      <c r="J55" s="9"/>
      <c r="K55" s="8"/>
      <c r="R55" s="9"/>
      <c r="T55" s="32" t="s">
        <v>168</v>
      </c>
      <c r="U55" s="25" t="s">
        <v>137</v>
      </c>
      <c r="V55" s="32" t="s">
        <v>139</v>
      </c>
      <c r="W55" s="33" t="s">
        <v>94</v>
      </c>
      <c r="X55" s="14"/>
    </row>
    <row r="56" spans="1:24" x14ac:dyDescent="0.35">
      <c r="A56" s="1"/>
      <c r="B56" s="1"/>
      <c r="C56" s="8"/>
      <c r="J56" s="9"/>
      <c r="K56" s="8"/>
      <c r="R56" s="9"/>
      <c r="T56" s="32" t="s">
        <v>168</v>
      </c>
      <c r="U56" s="25" t="s">
        <v>127</v>
      </c>
      <c r="V56" s="32" t="s">
        <v>118</v>
      </c>
      <c r="W56" s="33" t="s">
        <v>94</v>
      </c>
      <c r="X56" s="14"/>
    </row>
    <row r="57" spans="1:24" x14ac:dyDescent="0.35">
      <c r="A57" s="1"/>
      <c r="B57" s="1"/>
      <c r="C57" s="8"/>
      <c r="J57" s="9"/>
      <c r="K57" s="8"/>
      <c r="R57" s="9"/>
      <c r="U57" s="14"/>
      <c r="V57" s="14"/>
      <c r="W57" s="14"/>
      <c r="X57" s="14"/>
    </row>
    <row r="58" spans="1:24" x14ac:dyDescent="0.35">
      <c r="A58" s="1"/>
      <c r="B58" s="1"/>
      <c r="C58" s="8"/>
      <c r="J58" s="9"/>
      <c r="K58" s="8"/>
      <c r="R58" s="9"/>
      <c r="T58" s="36" t="s">
        <v>169</v>
      </c>
      <c r="U58" s="14" t="s">
        <v>157</v>
      </c>
      <c r="V58" s="36" t="s">
        <v>164</v>
      </c>
      <c r="X58" s="14"/>
    </row>
    <row r="59" spans="1:24" x14ac:dyDescent="0.35">
      <c r="A59" s="1"/>
      <c r="B59" s="1"/>
      <c r="C59" s="8"/>
      <c r="J59" s="9"/>
      <c r="K59" s="8"/>
      <c r="R59" s="9"/>
      <c r="T59" s="36" t="s">
        <v>169</v>
      </c>
      <c r="U59" s="14" t="s">
        <v>158</v>
      </c>
      <c r="V59" s="36" t="s">
        <v>103</v>
      </c>
      <c r="W59" s="14"/>
      <c r="X59" s="14"/>
    </row>
    <row r="60" spans="1:24" x14ac:dyDescent="0.35">
      <c r="A60" s="1"/>
      <c r="B60" s="1"/>
      <c r="C60" s="8"/>
      <c r="J60" s="9"/>
      <c r="K60" s="8"/>
      <c r="R60" s="9"/>
      <c r="U60" s="14"/>
      <c r="V60" s="14"/>
      <c r="W60" s="14"/>
      <c r="X60" s="14"/>
    </row>
    <row r="61" spans="1:24" x14ac:dyDescent="0.35">
      <c r="A61" s="1"/>
      <c r="B61" s="1"/>
      <c r="C61" s="8"/>
      <c r="J61" s="9"/>
      <c r="K61" s="8"/>
      <c r="R61" s="9"/>
      <c r="U61" s="14"/>
      <c r="V61" s="14"/>
      <c r="W61" s="14"/>
      <c r="X61" s="14"/>
    </row>
    <row r="62" spans="1:24" x14ac:dyDescent="0.35">
      <c r="A62" s="1"/>
      <c r="B62" s="1"/>
      <c r="C62" s="8"/>
      <c r="J62" s="9"/>
      <c r="K62" s="8"/>
      <c r="R62" s="9"/>
      <c r="U62" s="14"/>
      <c r="V62" s="14"/>
      <c r="W62" s="14"/>
      <c r="X62" s="14"/>
    </row>
    <row r="63" spans="1:24" x14ac:dyDescent="0.35">
      <c r="A63" s="1"/>
      <c r="B63" s="1"/>
      <c r="C63" s="8"/>
      <c r="J63" s="9"/>
      <c r="K63" s="8"/>
      <c r="R63" s="9"/>
      <c r="U63" s="14"/>
      <c r="V63" s="14"/>
      <c r="W63" s="14"/>
      <c r="X63" s="14"/>
    </row>
    <row r="64" spans="1:24" x14ac:dyDescent="0.35">
      <c r="A64" s="1"/>
      <c r="B64" s="1"/>
      <c r="C64" s="8"/>
      <c r="J64" s="9"/>
      <c r="K64" s="8"/>
      <c r="R64" s="9"/>
      <c r="U64" s="14"/>
      <c r="V64" s="14"/>
      <c r="W64" s="14"/>
      <c r="X64" s="14"/>
    </row>
    <row r="65" spans="1:24" x14ac:dyDescent="0.35">
      <c r="A65" s="1"/>
      <c r="B65" s="1"/>
      <c r="C65" s="8"/>
      <c r="J65" s="9"/>
      <c r="K65" s="8"/>
      <c r="R65" s="9"/>
      <c r="U65" s="14"/>
      <c r="V65" s="14"/>
      <c r="W65" s="14"/>
      <c r="X65" s="14"/>
    </row>
    <row r="66" spans="1:24" x14ac:dyDescent="0.35">
      <c r="A66" s="1"/>
      <c r="B66" s="1"/>
      <c r="C66" s="8"/>
      <c r="J66" s="9"/>
      <c r="K66" s="8"/>
      <c r="R66" s="9"/>
      <c r="U66" s="14"/>
      <c r="V66" s="14"/>
      <c r="W66" s="14"/>
      <c r="X66" s="14"/>
    </row>
    <row r="67" spans="1:24" x14ac:dyDescent="0.35">
      <c r="A67" s="1"/>
      <c r="B67" s="1"/>
      <c r="C67" s="8"/>
      <c r="J67" s="9"/>
      <c r="K67" s="8"/>
      <c r="R67" s="9"/>
      <c r="U67" s="14"/>
      <c r="V67" s="14"/>
      <c r="W67" s="14"/>
      <c r="X67" s="14"/>
    </row>
    <row r="68" spans="1:24" x14ac:dyDescent="0.35">
      <c r="A68" s="1"/>
      <c r="B68" s="1"/>
      <c r="C68" s="8"/>
      <c r="J68" s="9"/>
      <c r="K68" s="8"/>
      <c r="R68" s="9"/>
      <c r="U68" s="14"/>
      <c r="V68" s="14"/>
      <c r="W68" s="14"/>
      <c r="X68" s="14"/>
    </row>
    <row r="69" spans="1:24" x14ac:dyDescent="0.35">
      <c r="A69" s="1"/>
      <c r="B69" s="1"/>
      <c r="C69" s="8"/>
      <c r="J69" s="9"/>
      <c r="K69" s="8"/>
      <c r="R69" s="9"/>
      <c r="U69" s="14"/>
      <c r="V69" s="14"/>
      <c r="W69" s="14"/>
      <c r="X69" s="14"/>
    </row>
    <row r="70" spans="1:24" x14ac:dyDescent="0.35">
      <c r="A70" s="1"/>
      <c r="B70" s="1"/>
      <c r="C70" s="8"/>
      <c r="J70" s="9"/>
      <c r="K70" s="8"/>
      <c r="R70" s="9"/>
      <c r="U70" s="14"/>
      <c r="V70" s="14"/>
      <c r="W70" s="14"/>
      <c r="X70" s="14"/>
    </row>
    <row r="71" spans="1:24" x14ac:dyDescent="0.35">
      <c r="A71" s="1"/>
      <c r="B71" s="1"/>
      <c r="C71" s="8"/>
      <c r="J71" s="9"/>
      <c r="K71" s="8"/>
      <c r="R71" s="9"/>
      <c r="U71" s="14"/>
      <c r="V71" s="14"/>
      <c r="W71" s="14"/>
      <c r="X71" s="14"/>
    </row>
    <row r="72" spans="1:24" x14ac:dyDescent="0.35">
      <c r="A72" s="1"/>
      <c r="B72" s="1"/>
      <c r="C72" s="8"/>
      <c r="J72" s="9"/>
      <c r="K72" s="8"/>
      <c r="R72" s="9"/>
      <c r="U72" s="14"/>
      <c r="V72" s="14"/>
      <c r="W72" s="14"/>
      <c r="X72" s="14"/>
    </row>
    <row r="73" spans="1:24" x14ac:dyDescent="0.35">
      <c r="A73" s="1"/>
      <c r="B73" s="1"/>
      <c r="C73" s="8"/>
      <c r="J73" s="9"/>
      <c r="K73" s="8"/>
      <c r="R73" s="9"/>
      <c r="U73" s="14"/>
      <c r="V73" s="14"/>
      <c r="W73" s="14"/>
      <c r="X73" s="14"/>
    </row>
    <row r="74" spans="1:24" x14ac:dyDescent="0.35">
      <c r="A74" s="1"/>
      <c r="B74" s="1"/>
      <c r="C74" s="8"/>
      <c r="J74" s="9"/>
      <c r="K74" s="8"/>
      <c r="R74" s="9"/>
      <c r="U74" s="14"/>
      <c r="V74" s="14"/>
      <c r="W74" s="14"/>
      <c r="X74" s="14"/>
    </row>
    <row r="75" spans="1:24" x14ac:dyDescent="0.35">
      <c r="A75" s="1"/>
      <c r="B75" s="1"/>
      <c r="C75" s="8"/>
      <c r="J75" s="9"/>
      <c r="K75" s="8"/>
      <c r="R75" s="9"/>
      <c r="U75" s="14"/>
      <c r="V75" s="14"/>
      <c r="W75" s="14"/>
      <c r="X75" s="14"/>
    </row>
    <row r="76" spans="1:24" x14ac:dyDescent="0.35">
      <c r="A76" s="1"/>
      <c r="B76" s="1"/>
      <c r="C76" s="8"/>
      <c r="J76" s="9"/>
      <c r="K76" s="8"/>
      <c r="R76" s="9"/>
      <c r="U76" s="14"/>
      <c r="V76" s="14"/>
      <c r="W76" s="14"/>
      <c r="X76" s="14"/>
    </row>
    <row r="77" spans="1:24" x14ac:dyDescent="0.35">
      <c r="A77" s="1"/>
      <c r="B77" s="1"/>
      <c r="C77" s="8"/>
      <c r="J77" s="9"/>
      <c r="K77" s="8"/>
      <c r="R77" s="9"/>
      <c r="U77" s="14"/>
      <c r="V77" s="14"/>
      <c r="W77" s="14"/>
      <c r="X77" s="14"/>
    </row>
    <row r="78" spans="1:24" x14ac:dyDescent="0.35">
      <c r="A78" s="1"/>
      <c r="B78" s="1"/>
      <c r="C78" s="8"/>
      <c r="J78" s="9"/>
      <c r="K78" s="8"/>
      <c r="R78" s="9"/>
      <c r="U78" s="14"/>
      <c r="V78" s="14"/>
      <c r="W78" s="14"/>
      <c r="X78" s="14"/>
    </row>
    <row r="79" spans="1:24" x14ac:dyDescent="0.35">
      <c r="A79" s="1"/>
      <c r="B79" s="1"/>
      <c r="C79" s="8"/>
      <c r="J79" s="9"/>
      <c r="K79" s="8"/>
      <c r="R79" s="9"/>
      <c r="U79" s="14"/>
      <c r="V79" s="14"/>
      <c r="W79" s="14"/>
      <c r="X79" s="14"/>
    </row>
    <row r="80" spans="1:24" x14ac:dyDescent="0.35">
      <c r="A80" s="1"/>
      <c r="B80" s="1"/>
      <c r="C80" s="8"/>
      <c r="J80" s="9"/>
      <c r="K80" s="8"/>
      <c r="R80" s="9"/>
      <c r="U80" s="14"/>
      <c r="V80" s="14"/>
      <c r="W80" s="14"/>
      <c r="X80" s="14"/>
    </row>
    <row r="81" spans="1:24" x14ac:dyDescent="0.35">
      <c r="A81" s="1"/>
      <c r="B81" s="1"/>
      <c r="C81" s="8"/>
      <c r="J81" s="9"/>
      <c r="K81" s="8"/>
      <c r="R81" s="9"/>
      <c r="U81" s="14"/>
      <c r="V81" s="14"/>
      <c r="W81" s="14"/>
      <c r="X81" s="14"/>
    </row>
    <row r="82" spans="1:24" x14ac:dyDescent="0.35">
      <c r="A82" s="1"/>
      <c r="B82" s="1"/>
      <c r="C82" s="8"/>
      <c r="J82" s="9"/>
      <c r="K82" s="8"/>
      <c r="R82" s="9"/>
      <c r="U82" s="14"/>
      <c r="V82" s="14"/>
      <c r="W82" s="14"/>
      <c r="X82" s="14"/>
    </row>
    <row r="83" spans="1:24" x14ac:dyDescent="0.35">
      <c r="A83" s="1"/>
      <c r="B83" s="1"/>
      <c r="C83" s="8"/>
      <c r="J83" s="9"/>
      <c r="K83" s="8"/>
      <c r="R83" s="9"/>
      <c r="U83" s="14"/>
      <c r="V83" s="14"/>
      <c r="W83" s="14"/>
      <c r="X83" s="14"/>
    </row>
    <row r="84" spans="1:24" x14ac:dyDescent="0.35">
      <c r="A84" s="1"/>
      <c r="B84" s="1"/>
      <c r="C84" s="8"/>
      <c r="J84" s="9"/>
      <c r="K84" s="8"/>
      <c r="R84" s="9"/>
      <c r="U84" s="14"/>
      <c r="V84" s="14"/>
      <c r="W84" s="14"/>
      <c r="X84" s="14"/>
    </row>
    <row r="85" spans="1:24" x14ac:dyDescent="0.35">
      <c r="A85" s="1"/>
      <c r="B85" s="1"/>
      <c r="C85" s="8"/>
      <c r="J85" s="9"/>
      <c r="K85" s="8"/>
      <c r="R85" s="9"/>
      <c r="U85" s="14"/>
      <c r="V85" s="14"/>
      <c r="W85" s="14"/>
      <c r="X85" s="14"/>
    </row>
    <row r="86" spans="1:24" x14ac:dyDescent="0.35">
      <c r="A86" s="1"/>
      <c r="B86" s="1"/>
      <c r="C86" s="8"/>
      <c r="J86" s="9"/>
      <c r="K86" s="8"/>
      <c r="R86" s="9"/>
      <c r="U86" s="14"/>
      <c r="V86" s="14"/>
      <c r="W86" s="14"/>
      <c r="X86" s="14"/>
    </row>
    <row r="87" spans="1:24" x14ac:dyDescent="0.35">
      <c r="A87" s="1"/>
      <c r="B87" s="1"/>
      <c r="C87" s="8"/>
      <c r="J87" s="9"/>
      <c r="K87" s="8"/>
      <c r="R87" s="9"/>
      <c r="U87" s="14"/>
      <c r="V87" s="14"/>
      <c r="W87" s="14"/>
      <c r="X87" s="14"/>
    </row>
    <row r="88" spans="1:24" x14ac:dyDescent="0.35">
      <c r="A88" s="1"/>
      <c r="B88" s="1"/>
      <c r="C88" s="8"/>
      <c r="J88" s="9"/>
      <c r="K88" s="8"/>
      <c r="R88" s="9"/>
      <c r="U88" s="14"/>
      <c r="V88" s="14"/>
      <c r="W88" s="14"/>
      <c r="X88" s="14"/>
    </row>
    <row r="89" spans="1:24" x14ac:dyDescent="0.35">
      <c r="A89" s="1"/>
      <c r="B89" s="1"/>
      <c r="C89" s="8"/>
      <c r="J89" s="9"/>
      <c r="K89" s="8"/>
      <c r="R89" s="9"/>
      <c r="U89" s="14"/>
      <c r="V89" s="14"/>
      <c r="W89" s="14"/>
      <c r="X89" s="14"/>
    </row>
    <row r="90" spans="1:24" x14ac:dyDescent="0.35">
      <c r="A90" s="1"/>
      <c r="B90" s="1"/>
      <c r="C90" s="8"/>
      <c r="J90" s="9"/>
      <c r="K90" s="8"/>
      <c r="R90" s="9"/>
      <c r="U90" s="14"/>
      <c r="V90" s="14"/>
      <c r="W90" s="14"/>
      <c r="X90" s="14"/>
    </row>
    <row r="91" spans="1:24" x14ac:dyDescent="0.35">
      <c r="A91" s="1"/>
      <c r="B91" s="1"/>
      <c r="C91" s="8"/>
      <c r="J91" s="9"/>
      <c r="K91" s="8"/>
      <c r="R91" s="9"/>
      <c r="U91" s="14"/>
      <c r="V91" s="14"/>
      <c r="W91" s="14"/>
      <c r="X91" s="14"/>
    </row>
    <row r="92" spans="1:24" x14ac:dyDescent="0.35">
      <c r="A92" s="1"/>
      <c r="B92" s="1"/>
      <c r="C92" s="8"/>
      <c r="J92" s="9"/>
      <c r="K92" s="8"/>
      <c r="R92" s="9"/>
      <c r="U92" s="14"/>
      <c r="V92" s="14"/>
      <c r="W92" s="14"/>
      <c r="X92" s="14"/>
    </row>
    <row r="93" spans="1:24" x14ac:dyDescent="0.35">
      <c r="A93" s="1"/>
      <c r="B93" s="1"/>
      <c r="C93" s="8"/>
      <c r="J93" s="9"/>
      <c r="K93" s="8"/>
      <c r="R93" s="9"/>
      <c r="U93" s="14"/>
      <c r="V93" s="14"/>
      <c r="W93" s="14"/>
      <c r="X93" s="14"/>
    </row>
    <row r="94" spans="1:24" x14ac:dyDescent="0.35">
      <c r="A94" s="1"/>
      <c r="B94" s="1"/>
      <c r="C94" s="8"/>
      <c r="J94" s="9"/>
      <c r="K94" s="8"/>
      <c r="R94" s="9"/>
      <c r="U94" s="14"/>
      <c r="V94" s="14"/>
      <c r="W94" s="14"/>
      <c r="X94" s="14"/>
    </row>
    <row r="95" spans="1:24" x14ac:dyDescent="0.35">
      <c r="A95" s="1"/>
      <c r="B95" s="1"/>
      <c r="C95" s="8"/>
      <c r="J95" s="9"/>
      <c r="K95" s="8"/>
      <c r="R95" s="9"/>
      <c r="U95" s="14"/>
      <c r="V95" s="14"/>
      <c r="W95" s="14"/>
      <c r="X95" s="14"/>
    </row>
    <row r="96" spans="1:24" x14ac:dyDescent="0.35">
      <c r="A96" s="1"/>
      <c r="B96" s="1"/>
      <c r="C96" s="8"/>
      <c r="J96" s="9"/>
      <c r="K96" s="8"/>
      <c r="R96" s="9"/>
      <c r="U96" s="14"/>
      <c r="V96" s="14"/>
      <c r="W96" s="14"/>
      <c r="X96" s="14"/>
    </row>
    <row r="97" spans="1:24" x14ac:dyDescent="0.35">
      <c r="A97" s="1"/>
      <c r="B97" s="1"/>
      <c r="C97" s="8"/>
      <c r="J97" s="9"/>
      <c r="K97" s="8"/>
      <c r="R97" s="9"/>
      <c r="U97" s="14"/>
      <c r="V97" s="14"/>
      <c r="W97" s="14"/>
      <c r="X97" s="14"/>
    </row>
    <row r="98" spans="1:24" x14ac:dyDescent="0.35">
      <c r="A98" s="1"/>
      <c r="B98" s="1"/>
      <c r="C98" s="8"/>
      <c r="J98" s="9"/>
      <c r="K98" s="8"/>
      <c r="R98" s="9"/>
      <c r="U98" s="14"/>
      <c r="V98" s="14"/>
      <c r="W98" s="14"/>
      <c r="X98" s="14"/>
    </row>
    <row r="99" spans="1:24" x14ac:dyDescent="0.35">
      <c r="A99" s="1"/>
      <c r="B99" s="1"/>
      <c r="C99" s="8"/>
      <c r="J99" s="9"/>
      <c r="K99" s="8"/>
      <c r="R99" s="9"/>
      <c r="U99" s="14"/>
      <c r="V99" s="14"/>
      <c r="W99" s="14"/>
      <c r="X99" s="14"/>
    </row>
    <row r="100" spans="1:24" x14ac:dyDescent="0.35">
      <c r="A100" s="1"/>
      <c r="B100" s="1"/>
      <c r="C100" s="8"/>
      <c r="J100" s="9"/>
      <c r="K100" s="8"/>
      <c r="R100" s="9"/>
      <c r="U100" s="14"/>
      <c r="V100" s="14"/>
      <c r="W100" s="14"/>
      <c r="X100" s="14"/>
    </row>
    <row r="101" spans="1:24" x14ac:dyDescent="0.35">
      <c r="A101" s="1"/>
      <c r="B101" s="1"/>
      <c r="C101" s="8"/>
      <c r="J101" s="9"/>
      <c r="K101" s="8"/>
      <c r="R101" s="9"/>
      <c r="U101" s="14"/>
      <c r="V101" s="14"/>
      <c r="W101" s="14"/>
      <c r="X101" s="14"/>
    </row>
    <row r="102" spans="1:24" x14ac:dyDescent="0.35">
      <c r="A102" s="1"/>
      <c r="B102" s="1"/>
      <c r="C102" s="8"/>
      <c r="J102" s="9"/>
      <c r="K102" s="8"/>
      <c r="R102" s="9"/>
      <c r="U102" s="14"/>
      <c r="V102" s="14"/>
      <c r="W102" s="14"/>
      <c r="X102" s="14"/>
    </row>
    <row r="103" spans="1:24" x14ac:dyDescent="0.35">
      <c r="A103" s="1"/>
      <c r="B103" s="1"/>
      <c r="C103" s="8"/>
      <c r="J103" s="9"/>
      <c r="K103" s="8"/>
      <c r="R103" s="9"/>
      <c r="U103" s="14"/>
      <c r="V103" s="14"/>
      <c r="W103" s="14"/>
      <c r="X103" s="14"/>
    </row>
    <row r="104" spans="1:24" x14ac:dyDescent="0.35">
      <c r="A104" s="1"/>
      <c r="B104" s="1"/>
      <c r="C104" s="8"/>
      <c r="J104" s="9"/>
      <c r="K104" s="8"/>
      <c r="R104" s="9"/>
      <c r="U104" s="14"/>
      <c r="V104" s="14"/>
      <c r="W104" s="14"/>
      <c r="X104" s="14"/>
    </row>
    <row r="105" spans="1:24" x14ac:dyDescent="0.35">
      <c r="A105" s="1"/>
      <c r="B105" s="1"/>
      <c r="C105" s="8"/>
      <c r="J105" s="9"/>
      <c r="K105" s="8"/>
      <c r="R105" s="9"/>
      <c r="U105" s="14"/>
      <c r="V105" s="14"/>
      <c r="W105" s="14"/>
      <c r="X105" s="14"/>
    </row>
    <row r="106" spans="1:24" x14ac:dyDescent="0.35">
      <c r="A106" s="1"/>
      <c r="B106" s="1"/>
      <c r="C106" s="8"/>
      <c r="J106" s="9"/>
      <c r="K106" s="8"/>
      <c r="R106" s="9"/>
      <c r="U106" s="14"/>
      <c r="V106" s="14"/>
      <c r="W106" s="14"/>
      <c r="X106" s="14"/>
    </row>
    <row r="107" spans="1:24" x14ac:dyDescent="0.35">
      <c r="A107" s="1"/>
      <c r="B107" s="1"/>
      <c r="C107" s="8"/>
      <c r="J107" s="9"/>
      <c r="K107" s="8"/>
      <c r="R107" s="9"/>
      <c r="U107" s="14"/>
      <c r="V107" s="14"/>
      <c r="W107" s="14"/>
      <c r="X107" s="14"/>
    </row>
    <row r="108" spans="1:24" x14ac:dyDescent="0.35">
      <c r="A108" s="1"/>
      <c r="B108" s="1"/>
      <c r="C108" s="8"/>
      <c r="J108" s="9"/>
      <c r="K108" s="8"/>
      <c r="R108" s="9"/>
      <c r="U108" s="14"/>
      <c r="V108" s="14"/>
      <c r="W108" s="14"/>
      <c r="X108" s="14"/>
    </row>
    <row r="109" spans="1:24" x14ac:dyDescent="0.35">
      <c r="A109" s="1"/>
      <c r="B109" s="1"/>
      <c r="C109" s="8"/>
      <c r="J109" s="9"/>
      <c r="K109" s="8"/>
      <c r="R109" s="9"/>
      <c r="U109" s="14"/>
      <c r="V109" s="14"/>
      <c r="W109" s="14"/>
      <c r="X109" s="14"/>
    </row>
    <row r="110" spans="1:24" x14ac:dyDescent="0.35">
      <c r="A110" s="1"/>
      <c r="B110" s="1"/>
      <c r="C110" s="8"/>
      <c r="J110" s="9"/>
      <c r="K110" s="8"/>
      <c r="R110" s="9"/>
      <c r="U110" s="14"/>
      <c r="V110" s="14"/>
      <c r="W110" s="14"/>
      <c r="X110" s="14"/>
    </row>
    <row r="111" spans="1:24" x14ac:dyDescent="0.35">
      <c r="A111" s="1"/>
      <c r="B111" s="1"/>
      <c r="C111" s="8"/>
      <c r="J111" s="9"/>
      <c r="K111" s="8"/>
      <c r="R111" s="9"/>
      <c r="U111" s="14"/>
      <c r="V111" s="14"/>
      <c r="W111" s="14"/>
      <c r="X111" s="14"/>
    </row>
    <row r="112" spans="1:24" x14ac:dyDescent="0.35">
      <c r="A112" s="1"/>
      <c r="B112" s="1"/>
      <c r="C112" s="8"/>
      <c r="J112" s="9"/>
      <c r="K112" s="8"/>
      <c r="R112" s="9"/>
      <c r="U112" s="14"/>
      <c r="V112" s="14"/>
      <c r="W112" s="14"/>
      <c r="X112" s="14"/>
    </row>
    <row r="113" spans="1:24" x14ac:dyDescent="0.35">
      <c r="A113" s="1"/>
      <c r="B113" s="1"/>
      <c r="C113" s="8"/>
      <c r="J113" s="9"/>
      <c r="K113" s="8"/>
      <c r="R113" s="9"/>
      <c r="U113" s="14"/>
      <c r="V113" s="14"/>
      <c r="W113" s="14"/>
      <c r="X113" s="14"/>
    </row>
    <row r="114" spans="1:24" x14ac:dyDescent="0.35">
      <c r="A114" s="1"/>
      <c r="B114" s="1"/>
      <c r="C114" s="8"/>
      <c r="J114" s="9"/>
      <c r="K114" s="8"/>
      <c r="R114" s="9"/>
      <c r="U114" s="14"/>
      <c r="V114" s="14"/>
      <c r="W114" s="14"/>
      <c r="X114" s="14"/>
    </row>
    <row r="115" spans="1:24" x14ac:dyDescent="0.35">
      <c r="A115" s="1"/>
      <c r="B115" s="1"/>
      <c r="C115" s="8"/>
      <c r="J115" s="9"/>
      <c r="K115" s="8"/>
      <c r="R115" s="9"/>
      <c r="U115" s="14"/>
      <c r="V115" s="14"/>
      <c r="W115" s="14"/>
      <c r="X115" s="14"/>
    </row>
    <row r="116" spans="1:24" x14ac:dyDescent="0.35">
      <c r="A116" s="1"/>
      <c r="B116" s="1"/>
      <c r="C116" s="8"/>
      <c r="J116" s="9"/>
      <c r="K116" s="8"/>
      <c r="R116" s="9"/>
      <c r="U116" s="14"/>
      <c r="V116" s="14"/>
      <c r="W116" s="14"/>
      <c r="X116" s="14"/>
    </row>
    <row r="117" spans="1:24" x14ac:dyDescent="0.35">
      <c r="A117" s="1"/>
      <c r="B117" s="1"/>
      <c r="C117" s="8"/>
      <c r="J117" s="9"/>
      <c r="K117" s="8"/>
      <c r="R117" s="9"/>
      <c r="U117" s="14"/>
      <c r="V117" s="14"/>
      <c r="W117" s="14"/>
      <c r="X117" s="14"/>
    </row>
    <row r="118" spans="1:24" x14ac:dyDescent="0.35">
      <c r="A118" s="1"/>
      <c r="B118" s="1"/>
      <c r="C118" s="8"/>
      <c r="J118" s="9"/>
      <c r="K118" s="8"/>
      <c r="R118" s="9"/>
      <c r="U118" s="14"/>
      <c r="V118" s="14"/>
      <c r="W118" s="14"/>
      <c r="X118" s="14"/>
    </row>
    <row r="119" spans="1:24" x14ac:dyDescent="0.35">
      <c r="A119" s="1"/>
      <c r="B119" s="1"/>
      <c r="C119" s="8"/>
      <c r="J119" s="9"/>
      <c r="K119" s="8"/>
      <c r="R119" s="9"/>
      <c r="U119" s="14"/>
      <c r="V119" s="14"/>
      <c r="W119" s="14"/>
      <c r="X119" s="14"/>
    </row>
    <row r="120" spans="1:24" x14ac:dyDescent="0.35">
      <c r="A120" s="1"/>
      <c r="B120" s="1"/>
      <c r="C120" s="8"/>
      <c r="J120" s="9"/>
      <c r="K120" s="8"/>
      <c r="R120" s="9"/>
      <c r="U120" s="14"/>
      <c r="V120" s="14"/>
      <c r="W120" s="14"/>
      <c r="X120" s="14"/>
    </row>
    <row r="121" spans="1:24" x14ac:dyDescent="0.35">
      <c r="A121" s="1"/>
      <c r="B121" s="1"/>
      <c r="C121" s="8"/>
      <c r="J121" s="9"/>
      <c r="K121" s="8"/>
      <c r="R121" s="9"/>
      <c r="U121" s="14"/>
      <c r="V121" s="14"/>
      <c r="W121" s="14"/>
      <c r="X121" s="14"/>
    </row>
    <row r="122" spans="1:24" x14ac:dyDescent="0.35">
      <c r="A122" s="1"/>
      <c r="B122" s="1"/>
      <c r="C122" s="8"/>
      <c r="J122" s="9"/>
      <c r="K122" s="8"/>
      <c r="R122" s="9"/>
      <c r="U122" s="14"/>
      <c r="V122" s="14"/>
      <c r="W122" s="14"/>
      <c r="X122" s="14"/>
    </row>
    <row r="123" spans="1:24" x14ac:dyDescent="0.35">
      <c r="A123" s="1"/>
      <c r="B123" s="1"/>
      <c r="C123" s="8"/>
      <c r="J123" s="9"/>
      <c r="K123" s="8"/>
      <c r="R123" s="9"/>
      <c r="U123" s="14"/>
      <c r="V123" s="14"/>
      <c r="W123" s="14"/>
      <c r="X123" s="14"/>
    </row>
    <row r="124" spans="1:24" x14ac:dyDescent="0.35">
      <c r="A124" s="1"/>
      <c r="B124" s="1"/>
      <c r="C124" s="8"/>
      <c r="J124" s="9"/>
      <c r="K124" s="8"/>
      <c r="R124" s="9"/>
      <c r="U124" s="14"/>
      <c r="V124" s="14"/>
      <c r="W124" s="14"/>
      <c r="X124" s="14"/>
    </row>
    <row r="125" spans="1:24" x14ac:dyDescent="0.35">
      <c r="A125" s="1"/>
      <c r="B125" s="1"/>
      <c r="C125" s="8"/>
      <c r="J125" s="9"/>
      <c r="K125" s="8"/>
      <c r="R125" s="9"/>
      <c r="U125" s="14"/>
      <c r="V125" s="14"/>
      <c r="W125" s="14"/>
      <c r="X125" s="14"/>
    </row>
    <row r="126" spans="1:24" x14ac:dyDescent="0.35">
      <c r="A126" s="1"/>
      <c r="B126" s="1"/>
      <c r="C126" s="8"/>
      <c r="J126" s="9"/>
      <c r="K126" s="8"/>
      <c r="R126" s="9"/>
      <c r="U126" s="14"/>
      <c r="V126" s="14"/>
      <c r="W126" s="14"/>
      <c r="X126" s="14"/>
    </row>
    <row r="127" spans="1:24" x14ac:dyDescent="0.35">
      <c r="A127" s="1"/>
      <c r="B127" s="1"/>
      <c r="C127" s="8"/>
      <c r="J127" s="9"/>
      <c r="K127" s="8"/>
      <c r="R127" s="9"/>
      <c r="U127" s="14"/>
      <c r="V127" s="14"/>
      <c r="W127" s="14"/>
      <c r="X127" s="14"/>
    </row>
    <row r="128" spans="1:24" x14ac:dyDescent="0.35">
      <c r="A128" s="1"/>
      <c r="B128" s="1"/>
      <c r="C128" s="10"/>
      <c r="D128" s="11"/>
      <c r="E128" s="11"/>
      <c r="F128" s="11"/>
      <c r="G128" s="11"/>
      <c r="H128" s="11"/>
      <c r="I128" s="11"/>
      <c r="J128" s="12"/>
      <c r="K128" s="10"/>
      <c r="L128" s="11"/>
      <c r="M128" s="11"/>
      <c r="N128" s="11"/>
      <c r="O128" s="11"/>
      <c r="P128" s="11"/>
      <c r="Q128" s="11"/>
      <c r="R128" s="12"/>
      <c r="U128" s="2"/>
      <c r="V128" s="2"/>
      <c r="W128" s="2"/>
      <c r="X1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I. Cozzone</dc:creator>
  <cp:lastModifiedBy>Maximilian I. Cozzone</cp:lastModifiedBy>
  <dcterms:created xsi:type="dcterms:W3CDTF">2026-02-16T10:09:06Z</dcterms:created>
  <dcterms:modified xsi:type="dcterms:W3CDTF">2026-02-19T20:45:11Z</dcterms:modified>
</cp:coreProperties>
</file>