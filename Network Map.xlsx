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co\Desktop\"/>
    </mc:Choice>
  </mc:AlternateContent>
  <xr:revisionPtr revIDLastSave="0" documentId="8_{B937844D-1A3C-45B9-8327-FD5E27540C56}" xr6:coauthVersionLast="47" xr6:coauthVersionMax="47" xr10:uidLastSave="{00000000-0000-0000-0000-000000000000}"/>
  <bookViews>
    <workbookView xWindow="-110" yWindow="-110" windowWidth="25820" windowHeight="13900" xr2:uid="{B1157357-4AEE-488E-AEC5-4BA9B781D95E}"/>
  </bookViews>
  <sheets>
    <sheet name="Router1" sheetId="1" r:id="rId1"/>
    <sheet name="Router2" sheetId="2" r:id="rId2"/>
    <sheet name="Nat Router" sheetId="4" r:id="rId3"/>
    <sheet name="Firewall Router" sheetId="3" r:id="rId4"/>
    <sheet name="ISP router" sheetId="5" r:id="rId5"/>
    <sheet name="WirelessRouter" sheetId="7" r:id="rId6"/>
    <sheet name="Subnet Management secret" sheetId="6" r:id="rId7"/>
    <sheet name="Study" sheetId="12" r:id="rId8"/>
    <sheet name="Production" sheetId="8" r:id="rId9"/>
    <sheet name="Support 1" sheetId="9" r:id="rId10"/>
    <sheet name="Support 2" sheetId="10" r:id="rId11"/>
    <sheet name="IT department" sheetId="11" r:id="rId12"/>
    <sheet name="Switch Management" sheetId="13" r:id="rId13"/>
    <sheet name="Switch Study" sheetId="14" r:id="rId14"/>
    <sheet name="Switch Production" sheetId="15" r:id="rId15"/>
    <sheet name="Switch Support 1" sheetId="16" r:id="rId16"/>
    <sheet name="Switch support 2" sheetId="17" r:id="rId17"/>
    <sheet name="Switch IT department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2" l="1"/>
  <c r="C12" i="12"/>
  <c r="C11" i="12"/>
  <c r="C10" i="12"/>
  <c r="C9" i="12"/>
  <c r="C8" i="12"/>
  <c r="C7" i="12"/>
  <c r="C6" i="12"/>
  <c r="C5" i="12"/>
  <c r="C4" i="12"/>
  <c r="C3" i="12"/>
  <c r="C13" i="7"/>
  <c r="C12" i="7"/>
  <c r="C11" i="7"/>
  <c r="C10" i="7"/>
  <c r="C9" i="7"/>
  <c r="C8" i="7"/>
  <c r="C7" i="7"/>
  <c r="C6" i="7"/>
  <c r="C5" i="7"/>
  <c r="C4" i="7"/>
  <c r="D4" i="6"/>
  <c r="D5" i="6"/>
  <c r="D6" i="6"/>
  <c r="D7" i="6"/>
  <c r="D8" i="6"/>
  <c r="D9" i="6"/>
  <c r="D10" i="6"/>
  <c r="D11" i="6"/>
  <c r="D12" i="6"/>
  <c r="D13" i="6"/>
  <c r="D3" i="6"/>
</calcChain>
</file>

<file path=xl/sharedStrings.xml><?xml version="1.0" encoding="utf-8"?>
<sst xmlns="http://schemas.openxmlformats.org/spreadsheetml/2006/main" count="361" uniqueCount="139">
  <si>
    <t>ports</t>
  </si>
  <si>
    <t>FastEthernet0/0</t>
  </si>
  <si>
    <t>FastEthernet0/1</t>
  </si>
  <si>
    <t>mask</t>
  </si>
  <si>
    <t>192.168.1.3</t>
  </si>
  <si>
    <t>192.168.1.131</t>
  </si>
  <si>
    <t>192.168.1.51</t>
  </si>
  <si>
    <t>192.168.1.67</t>
  </si>
  <si>
    <t>192.168.1.83</t>
  </si>
  <si>
    <t>192.168.1.99</t>
  </si>
  <si>
    <t>10.1.1.2</t>
  </si>
  <si>
    <t>FastEthernet1/0</t>
  </si>
  <si>
    <t>FastEthernet3/0</t>
  </si>
  <si>
    <t>FastEthernet1/1</t>
  </si>
  <si>
    <t>FastEthernet4/0</t>
  </si>
  <si>
    <t>FastEthernet5/0</t>
  </si>
  <si>
    <t>FastEthernet6/0</t>
  </si>
  <si>
    <t>FastEthernet7/0</t>
  </si>
  <si>
    <t>FastEthernet8/0</t>
  </si>
  <si>
    <t>Serial9/0</t>
  </si>
  <si>
    <t>Not set</t>
  </si>
  <si>
    <t>192.168.1.2</t>
  </si>
  <si>
    <t>192.168.1.130</t>
  </si>
  <si>
    <t>192.168.1.50</t>
  </si>
  <si>
    <t>192.168.1.66</t>
  </si>
  <si>
    <t>192.168.1.82</t>
  </si>
  <si>
    <t>192.168.1.98</t>
  </si>
  <si>
    <t>10.1.2.2</t>
  </si>
  <si>
    <t>Ethernt8/0</t>
  </si>
  <si>
    <t>FastEthernet2/0</t>
  </si>
  <si>
    <t>Serial2/0</t>
  </si>
  <si>
    <t>Serial3/0</t>
  </si>
  <si>
    <t>Serial6/0</t>
  </si>
  <si>
    <t>FastEthernet9/0</t>
  </si>
  <si>
    <t>203.0.113.49</t>
  </si>
  <si>
    <t>10.1.1.1</t>
  </si>
  <si>
    <t>10.1.2.1</t>
  </si>
  <si>
    <t>172.16.10.1</t>
  </si>
  <si>
    <t>192.168.100.2</t>
  </si>
  <si>
    <t>Vlan1</t>
  </si>
  <si>
    <t>20.110.24.2</t>
  </si>
  <si>
    <t>192.168.100.1</t>
  </si>
  <si>
    <t>FastEthernet1/2</t>
  </si>
  <si>
    <t>FastEthernet1/3</t>
  </si>
  <si>
    <t>FastEthernet1/4</t>
  </si>
  <si>
    <t>FastEthernet1/5</t>
  </si>
  <si>
    <t>FastEthernet1/6</t>
  </si>
  <si>
    <t>FastEthernet1/7</t>
  </si>
  <si>
    <t>FastEthernet1/8</t>
  </si>
  <si>
    <t>FastEthernet1/9</t>
  </si>
  <si>
    <t>FastEthernet1/10</t>
  </si>
  <si>
    <t>FastEthernet1/11</t>
  </si>
  <si>
    <t>FastEthernet1/12</t>
  </si>
  <si>
    <t>FastEthernet1/13</t>
  </si>
  <si>
    <t>FastEthernet1/14</t>
  </si>
  <si>
    <t>FastEthernet1/15</t>
  </si>
  <si>
    <t>Vlan8</t>
  </si>
  <si>
    <t>Vlan10</t>
  </si>
  <si>
    <t>Port</t>
  </si>
  <si>
    <t>8.8.8.1</t>
  </si>
  <si>
    <t>10.10.10.1</t>
  </si>
  <si>
    <t>20.110.24.1</t>
  </si>
  <si>
    <t>Up</t>
  </si>
  <si>
    <t>Up/no ip</t>
  </si>
  <si>
    <t>Devices</t>
  </si>
  <si>
    <t>PC0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</si>
  <si>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</si>
  <si>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</si>
  <si>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</si>
  <si>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</si>
  <si>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</si>
  <si>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</si>
  <si>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</si>
  <si>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</si>
  <si>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</si>
  <si>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</si>
  <si>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</si>
  <si>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192.168.1.6</t>
  </si>
  <si>
    <t>192.168.1.5</t>
  </si>
  <si>
    <t>Printers</t>
  </si>
  <si>
    <t>Printer0</t>
  </si>
  <si>
    <t>Printer1</t>
  </si>
  <si>
    <t>Printer2</t>
  </si>
  <si>
    <t>192.168.1.14</t>
  </si>
  <si>
    <t>Wireless Router</t>
  </si>
  <si>
    <t>Internet</t>
  </si>
  <si>
    <t>192.168.1.38</t>
  </si>
  <si>
    <t>Virtual-access1</t>
  </si>
  <si>
    <t>Dialer1</t>
  </si>
  <si>
    <t>LAN</t>
  </si>
  <si>
    <t>Gigabitethernet1</t>
  </si>
  <si>
    <t>Gigabitethernet2</t>
  </si>
  <si>
    <t>Gigabitethernet3</t>
  </si>
  <si>
    <t>Gigabitethernet4</t>
  </si>
  <si>
    <t>Wireless 1</t>
  </si>
  <si>
    <t>Wireless 2</t>
  </si>
  <si>
    <t>Wireless 3</t>
  </si>
  <si>
    <t>Wireless 4</t>
  </si>
  <si>
    <t>Wireless 5</t>
  </si>
  <si>
    <t>Wireless 6</t>
  </si>
  <si>
    <t>Wireess0/0</t>
  </si>
  <si>
    <t>Up/ not set</t>
  </si>
  <si>
    <t>192.168.1.138</t>
  </si>
  <si>
    <t>SmartPhones</t>
  </si>
  <si>
    <t>192.168.1.132</t>
  </si>
  <si>
    <t>Fastethernet0</t>
  </si>
  <si>
    <t>Fastethernet0/1</t>
  </si>
  <si>
    <t>Fastethernet0/2</t>
  </si>
  <si>
    <t>Fastethernet0/3</t>
  </si>
  <si>
    <t>Fastethernet0/4</t>
  </si>
  <si>
    <t>Fastethernet0/5</t>
  </si>
  <si>
    <t>Fastethernet0/6</t>
  </si>
  <si>
    <t>Fastethernet0/7</t>
  </si>
  <si>
    <t>Fastethernet0/8</t>
  </si>
  <si>
    <t>Fastethernet0/9</t>
  </si>
  <si>
    <t>Fastethernet0/10</t>
  </si>
  <si>
    <t>Fastethernet0/11</t>
  </si>
  <si>
    <t>Fastethernet0/12</t>
  </si>
  <si>
    <t>Fastethernet0/13</t>
  </si>
  <si>
    <t>Fastethernet0/14</t>
  </si>
  <si>
    <t>Fastethernet0/15</t>
  </si>
  <si>
    <t>Fastethernet0/16</t>
  </si>
  <si>
    <t>Fastethernet0/17</t>
  </si>
  <si>
    <t>Fastethernet0/18</t>
  </si>
  <si>
    <t>Fastethernet0/19</t>
  </si>
  <si>
    <t>Fastethernet0/20</t>
  </si>
  <si>
    <t>Fastethernet0/21</t>
  </si>
  <si>
    <t>Fastethernet0/22</t>
  </si>
  <si>
    <t>Fastethernet0/23</t>
  </si>
  <si>
    <t>Fastethernet0/24</t>
  </si>
  <si>
    <t>GigabitEthernet0/1</t>
  </si>
  <si>
    <t>GigabitEthernet0/2</t>
  </si>
  <si>
    <t>Down</t>
  </si>
  <si>
    <t>Sw2</t>
  </si>
  <si>
    <t>SW1</t>
  </si>
  <si>
    <t>Vlan9</t>
  </si>
  <si>
    <t>Vlan99</t>
  </si>
  <si>
    <t>not set</t>
  </si>
  <si>
    <t>192.168.1.10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</si>
</sst>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495300</xdr:colOff>
      <xdr:row>0</xdr:row>
      <xdr:rowOff>0</xdr:rowOff>
    </xdr:from>
    <xdr:to>
      <xdr:col>12</xdr:col>
      <xdr:colOff>515118</xdr:colOff>
      <xdr:row>14</xdr:row>
      <xdr:rowOff>60693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3E60B-91DF-7D06-55D5-7307E7B09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150" y="0"/>
          <a:ext cx="5506218" cy="26387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0</xdr:row>
      <xdr:rowOff>76200</xdr:rowOff>
    </xdr:from>
    <xdr:to>
      <xdr:col>13</xdr:col>
      <xdr:colOff>315105</xdr:colOff>
      <xdr:row>12</xdr:row>
      <xdr:rowOff>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351A77-FAF6-B781-2F08-69868CB70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7950" y="76200"/>
          <a:ext cx="5591955" cy="21338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0</xdr:row>
      <xdr:rowOff>0</xdr:rowOff>
    </xdr:from>
    <xdr:to>
      <xdr:col>13</xdr:col>
      <xdr:colOff>210348</xdr:colOff>
      <xdr:row>7</xdr:row>
      <xdr:rowOff>111320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471628-F8D7-9E5D-39D9-C1FCAFBFE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2650" y="0"/>
          <a:ext cx="5715798" cy="14003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</xdr:colOff>
      <xdr:row>0</xdr:row>
      <xdr:rowOff>0</xdr:rowOff>
    </xdr:from>
    <xdr:to>
      <xdr:col>15</xdr:col>
      <xdr:colOff>375464</xdr:colOff>
      <xdr:row>11</xdr:row>
      <xdr:rowOff>12985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113F8-D760-F741-E86A-8C17E51E3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9350" y="0"/>
          <a:ext cx="5830114" cy="203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0</xdr:row>
      <xdr:rowOff>0</xdr:rowOff>
    </xdr:from>
    <xdr:to>
      <xdr:col>14</xdr:col>
      <xdr:colOff>286635</xdr:colOff>
      <xdr:row>22</xdr:row>
      <xdr:rowOff>25969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048349-E22B-C6F2-4B89-4E17364DB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0" y="0"/>
          <a:ext cx="6344535" cy="40772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11</xdr:col>
      <xdr:colOff>57754</xdr:colOff>
      <xdr:row>19</xdr:row>
      <xdr:rowOff>44945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AB7E7C-9305-4701-7AD5-F3BFC9E3D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8800" y="0"/>
          <a:ext cx="4324954" cy="35437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82550</xdr:colOff>
      <xdr:row>0</xdr:row>
      <xdr:rowOff>0</xdr:rowOff>
    </xdr:from>
    <xdr:to>
      <xdr:col>13</xdr:col>
      <xdr:colOff>168797</xdr:colOff>
      <xdr:row>9</xdr:row>
      <xdr:rowOff>95495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8249ED-B8ED-DF88-E5E4-DF0FFF04D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0150" y="0"/>
          <a:ext cx="3743847" cy="175284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9</xdr:row>
      <xdr:rowOff>152400</xdr:rowOff>
    </xdr:from>
    <xdr:to>
      <xdr:col>13</xdr:col>
      <xdr:colOff>57655</xdr:colOff>
      <xdr:row>21</xdr:row>
      <xdr:rowOff>47919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D149BD-E118-304E-1C33-CCEFE8FB8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52850" y="1809750"/>
          <a:ext cx="3620005" cy="210531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13</xdr:col>
      <xdr:colOff>143405</xdr:colOff>
      <xdr:row>31</xdr:row>
      <xdr:rowOff>152653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B9A5F3-427D-47B7-F376-B8062608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32400" y="4051300"/>
          <a:ext cx="3801005" cy="181000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13</xdr:col>
      <xdr:colOff>400616</xdr:colOff>
      <xdr:row>41</xdr:row>
      <xdr:rowOff>174855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C07336-FE70-190E-39A7-17FE33CAA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32400" y="6076950"/>
          <a:ext cx="4058216" cy="16480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</xdr:colOff>
      <xdr:row>0</xdr:row>
      <xdr:rowOff>0</xdr:rowOff>
    </xdr:from>
    <xdr:to>
      <xdr:col>10</xdr:col>
      <xdr:colOff>359324</xdr:colOff>
      <xdr:row>9</xdr:row>
      <xdr:rowOff>171705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EA8FAC-4BCA-6160-DCCE-83CF447B4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0600" y="0"/>
          <a:ext cx="3934374" cy="1829055"/>
        </a:xfrm>
        <a:prstGeom prst="rect">
          <a:avLst/>
        </a:prstGeom>
      </xdr:spPr>
    </xdr:pic>
    <xdr:clientData/>
  </xdr:twoCellAnchor>
  <xdr:twoCellAnchor editAs="oneCell">
    <xdr:from>
      <xdr:col>4</xdr:col>
      <xdr:colOff>120650</xdr:colOff>
      <xdr:row>10</xdr:row>
      <xdr:rowOff>69850</xdr:rowOff>
    </xdr:from>
    <xdr:to>
      <xdr:col>10</xdr:col>
      <xdr:colOff>435529</xdr:colOff>
      <xdr:row>19</xdr:row>
      <xdr:rowOff>98660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193A3F-E963-A9C5-E8F9-F6E2A1336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8700" y="1911350"/>
          <a:ext cx="3972479" cy="16861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9</xdr:col>
      <xdr:colOff>486268</xdr:colOff>
      <xdr:row>32</xdr:row>
      <xdr:rowOff>171782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454D58-5494-D9A4-A2FF-4CAAA9BE5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48050" y="3683000"/>
          <a:ext cx="3534268" cy="2381582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</xdr:colOff>
      <xdr:row>33</xdr:row>
      <xdr:rowOff>44450</xdr:rowOff>
    </xdr:from>
    <xdr:to>
      <xdr:col>10</xdr:col>
      <xdr:colOff>3679</xdr:colOff>
      <xdr:row>47</xdr:row>
      <xdr:rowOff>171828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F4A845-D91F-FF84-C9A3-68A3E1263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98850" y="6121400"/>
          <a:ext cx="3610479" cy="27054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241300</xdr:colOff>
      <xdr:row>0</xdr:row>
      <xdr:rowOff>0</xdr:rowOff>
    </xdr:from>
    <xdr:to>
      <xdr:col>11</xdr:col>
      <xdr:colOff>508548</xdr:colOff>
      <xdr:row>9</xdr:row>
      <xdr:rowOff>38337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4D0A79-FBB8-6E83-C9B0-85A256812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9300" y="0"/>
          <a:ext cx="3924848" cy="1695687"/>
        </a:xfrm>
        <a:prstGeom prst="rect">
          <a:avLst/>
        </a:prstGeom>
      </xdr:spPr>
    </xdr:pic>
    <xdr:clientData/>
  </xdr:twoCellAnchor>
  <xdr:twoCellAnchor editAs="oneCell">
    <xdr:from>
      <xdr:col>5</xdr:col>
      <xdr:colOff>158750</xdr:colOff>
      <xdr:row>9</xdr:row>
      <xdr:rowOff>133350</xdr:rowOff>
    </xdr:from>
    <xdr:to>
      <xdr:col>11</xdr:col>
      <xdr:colOff>321208</xdr:colOff>
      <xdr:row>19</xdr:row>
      <xdr:rowOff>130432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BDCD35-B680-13C1-7B83-10C60AE63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6750" y="1790700"/>
          <a:ext cx="3820058" cy="1838582"/>
        </a:xfrm>
        <a:prstGeom prst="rect">
          <a:avLst/>
        </a:prstGeom>
      </xdr:spPr>
    </xdr:pic>
    <xdr:clientData/>
  </xdr:twoCellAnchor>
  <xdr:twoCellAnchor editAs="oneCell">
    <xdr:from>
      <xdr:col>5</xdr:col>
      <xdr:colOff>177800</xdr:colOff>
      <xdr:row>20</xdr:row>
      <xdr:rowOff>165100</xdr:rowOff>
    </xdr:from>
    <xdr:to>
      <xdr:col>11</xdr:col>
      <xdr:colOff>483153</xdr:colOff>
      <xdr:row>30</xdr:row>
      <xdr:rowOff>171708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D26257-9870-A5E9-FF7F-56D82E1AE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25800" y="3848100"/>
          <a:ext cx="3962953" cy="184810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0</xdr:row>
      <xdr:rowOff>0</xdr:rowOff>
    </xdr:from>
    <xdr:to>
      <xdr:col>10</xdr:col>
      <xdr:colOff>295816</xdr:colOff>
      <xdr:row>10</xdr:row>
      <xdr:rowOff>35187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3F3A7C-9CF3-A58B-B5C5-1F059F776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0" y="0"/>
          <a:ext cx="3877216" cy="1876687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10</xdr:row>
      <xdr:rowOff>88900</xdr:rowOff>
    </xdr:from>
    <xdr:to>
      <xdr:col>10</xdr:col>
      <xdr:colOff>187850</xdr:colOff>
      <xdr:row>20</xdr:row>
      <xdr:rowOff>38350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F43D53-8EA9-9738-DE92-FD302AB18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0950" y="1930400"/>
          <a:ext cx="3762900" cy="1790950"/>
        </a:xfrm>
        <a:prstGeom prst="rect">
          <a:avLst/>
        </a:prstGeom>
      </xdr:spPr>
    </xdr:pic>
    <xdr:clientData/>
  </xdr:twoCellAnchor>
  <xdr:twoCellAnchor editAs="oneCell">
    <xdr:from>
      <xdr:col>4</xdr:col>
      <xdr:colOff>139700</xdr:colOff>
      <xdr:row>20</xdr:row>
      <xdr:rowOff>139700</xdr:rowOff>
    </xdr:from>
    <xdr:to>
      <xdr:col>10</xdr:col>
      <xdr:colOff>330737</xdr:colOff>
      <xdr:row>30</xdr:row>
      <xdr:rowOff>174887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EA2383-2766-A6C1-0B29-60037640A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450" y="3822700"/>
          <a:ext cx="3848637" cy="1876687"/>
        </a:xfrm>
        <a:prstGeom prst="rect">
          <a:avLst/>
        </a:prstGeom>
      </xdr:spPr>
    </xdr:pic>
    <xdr:clientData/>
  </xdr:twoCellAnchor>
  <xdr:twoCellAnchor editAs="oneCell">
    <xdr:from>
      <xdr:col>4</xdr:col>
      <xdr:colOff>177800</xdr:colOff>
      <xdr:row>32</xdr:row>
      <xdr:rowOff>6350</xdr:rowOff>
    </xdr:from>
    <xdr:to>
      <xdr:col>8</xdr:col>
      <xdr:colOff>606825</xdr:colOff>
      <xdr:row>42</xdr:row>
      <xdr:rowOff>165379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8D91F0-EAF8-031B-61FE-DE3894705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48550" y="5899150"/>
          <a:ext cx="2867425" cy="2000529"/>
        </a:xfrm>
        <a:prstGeom prst="rect">
          <a:avLst/>
        </a:prstGeom>
      </xdr:spPr>
    </xdr:pic>
    <xdr:clientData/>
  </xdr:twoCellAnchor>
  <xdr:twoCellAnchor editAs="oneCell">
    <xdr:from>
      <xdr:col>4</xdr:col>
      <xdr:colOff>241300</xdr:colOff>
      <xdr:row>43</xdr:row>
      <xdr:rowOff>101600</xdr:rowOff>
    </xdr:from>
    <xdr:to>
      <xdr:col>11</xdr:col>
      <xdr:colOff>13264</xdr:colOff>
      <xdr:row>54</xdr:row>
      <xdr:rowOff>114585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CDA22D-2191-D08E-D4C8-6789911B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12050" y="8020050"/>
          <a:ext cx="4039164" cy="203863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0</xdr:row>
      <xdr:rowOff>0</xdr:rowOff>
    </xdr:from>
    <xdr:to>
      <xdr:col>18</xdr:col>
      <xdr:colOff>581734</xdr:colOff>
      <xdr:row>31</xdr:row>
      <xdr:rowOff>102411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022B46-B91B-10C4-097F-FBF2A1A7A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77000" y="0"/>
          <a:ext cx="5077534" cy="581106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298450</xdr:colOff>
      <xdr:row>0</xdr:row>
      <xdr:rowOff>0</xdr:rowOff>
    </xdr:from>
    <xdr:to>
      <xdr:col>12</xdr:col>
      <xdr:colOff>489657</xdr:colOff>
      <xdr:row>31</xdr:row>
      <xdr:rowOff>159569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4A5DDE-6146-6AD0-A467-A67030E33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0"/>
          <a:ext cx="5068007" cy="586821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101600</xdr:colOff>
      <xdr:row>0</xdr:row>
      <xdr:rowOff>0</xdr:rowOff>
    </xdr:from>
    <xdr:to>
      <xdr:col>12</xdr:col>
      <xdr:colOff>349880</xdr:colOff>
      <xdr:row>30</xdr:row>
      <xdr:rowOff>115087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EB759-A8F1-EA45-8026-A89D8A987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0" y="0"/>
          <a:ext cx="4515480" cy="563958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234950</xdr:colOff>
      <xdr:row>0</xdr:row>
      <xdr:rowOff>0</xdr:rowOff>
    </xdr:from>
    <xdr:to>
      <xdr:col>13</xdr:col>
      <xdr:colOff>111788</xdr:colOff>
      <xdr:row>30</xdr:row>
      <xdr:rowOff>67455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CAC3F1-1FB3-5926-E834-D38CADF5D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2950" y="0"/>
          <a:ext cx="4753638" cy="5591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1886E-DED8-44C1-82A5-157116BC9AE6}">
  <dimension ref="A1:C11"/>
  <sheetViews>
    <sheetView tabSelected="1" workbookViewId="0">
      <selection activeCell="B11" sqref="B11"/>
    </sheetView>
  </sheetViews>
  <sheetFormatPr defaultRowHeight="14.5" x14ac:dyDescent="0.35"/>
  <cols>
    <col min="1" max="1" width="14" bestFit="1" customWidth="1"/>
    <col min="2" max="2" width="16.453125" customWidth="1"/>
  </cols>
  <sheetData>
    <row r="1" spans="1:3" x14ac:dyDescent="0.35">
      <c r="A1" t="s">
        <v>0</v>
      </c>
      <c r="C1" t="s">
        <v>3</v>
      </c>
    </row>
    <row r="2" spans="1:3" x14ac:dyDescent="0.35">
      <c r="A2" t="s">
        <v>1</v>
      </c>
      <c r="B2" t="s">
        <v>4</v>
      </c>
      <c r="C2">
        <v>28</v>
      </c>
    </row>
    <row r="3" spans="1:3" x14ac:dyDescent="0.35">
      <c r="A3" t="s">
        <v>11</v>
      </c>
      <c r="B3" t="s">
        <v>5</v>
      </c>
      <c r="C3">
        <v>27</v>
      </c>
    </row>
    <row r="4" spans="1:3" x14ac:dyDescent="0.35">
      <c r="A4" t="s">
        <v>29</v>
      </c>
      <c r="B4" t="s">
        <v>6</v>
      </c>
      <c r="C4">
        <v>28</v>
      </c>
    </row>
    <row r="5" spans="1:3" x14ac:dyDescent="0.35">
      <c r="A5" t="s">
        <v>12</v>
      </c>
      <c r="B5" t="s">
        <v>7</v>
      </c>
      <c r="C5">
        <v>28</v>
      </c>
    </row>
    <row r="6" spans="1:3" x14ac:dyDescent="0.35">
      <c r="A6" t="s">
        <v>14</v>
      </c>
      <c r="B6" t="s">
        <v>8</v>
      </c>
      <c r="C6">
        <v>28</v>
      </c>
    </row>
    <row r="7" spans="1:3" x14ac:dyDescent="0.35">
      <c r="A7" t="s">
        <v>15</v>
      </c>
      <c r="B7" t="s">
        <v>9</v>
      </c>
      <c r="C7">
        <v>28</v>
      </c>
    </row>
    <row r="8" spans="1:3" x14ac:dyDescent="0.35">
      <c r="A8" t="s">
        <v>16</v>
      </c>
      <c r="B8" t="s">
        <v>10</v>
      </c>
      <c r="C8">
        <v>30</v>
      </c>
    </row>
    <row r="9" spans="1:3" x14ac:dyDescent="0.35">
      <c r="A9" t="s">
        <v>17</v>
      </c>
      <c r="B9" t="s">
        <v>20</v>
      </c>
    </row>
    <row r="10" spans="1:3" x14ac:dyDescent="0.35">
      <c r="A10" t="s">
        <v>18</v>
      </c>
      <c r="B10" t="s">
        <v>20</v>
      </c>
    </row>
    <row r="11" spans="1:3" x14ac:dyDescent="0.35">
      <c r="A11" t="s">
        <v>19</v>
      </c>
      <c r="B11" t="s">
        <v>20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4D45-8CAC-4253-8FB9-D85CE53A3C20}">
  <dimension ref="A1:C11"/>
  <sheetViews>
    <sheetView workbookViewId="0">
      <selection activeCell="C12" sqref="C12"/>
    </sheetView>
  </sheetViews>
  <sheetFormatPr defaultRowHeight="14.5" x14ac:dyDescent="0.35"/>
  <cols>
    <col min="1" max="1" width="14" bestFit="1" customWidth="1"/>
    <col min="2" max="2" width="13.08984375" customWidth="1"/>
    <col min="3" max="3" width="9.1796875" customWidth="1"/>
  </cols>
  <sheetData>
    <row r="1" spans="1:3" x14ac:dyDescent="0.35">
      <c r="A1" t="s">
        <v>0</v>
      </c>
      <c r="C1" t="s">
        <v>3</v>
      </c>
    </row>
    <row r="2" spans="1:3" x14ac:dyDescent="0.35">
      <c r="A2" t="s">
        <v>1</v>
      </c>
      <c r="B2" t="s">
        <v>21</v>
      </c>
      <c r="C2">
        <v>28</v>
      </c>
    </row>
    <row r="3" spans="1:3" x14ac:dyDescent="0.35">
      <c r="A3" t="s">
        <v>11</v>
      </c>
      <c r="B3" t="s">
        <v>22</v>
      </c>
      <c r="C3">
        <v>27</v>
      </c>
    </row>
    <row r="4" spans="1:3" x14ac:dyDescent="0.35">
      <c r="A4" t="s">
        <v>29</v>
      </c>
      <c r="B4" t="s">
        <v>23</v>
      </c>
      <c r="C4">
        <v>28</v>
      </c>
    </row>
    <row r="5" spans="1:3" x14ac:dyDescent="0.35">
      <c r="A5" t="s">
        <v>12</v>
      </c>
      <c r="B5" t="s">
        <v>24</v>
      </c>
      <c r="C5">
        <v>28</v>
      </c>
    </row>
    <row r="6" spans="1:3" x14ac:dyDescent="0.35">
      <c r="A6" t="s">
        <v>14</v>
      </c>
      <c r="B6" t="s">
        <v>25</v>
      </c>
      <c r="C6">
        <v>28</v>
      </c>
    </row>
    <row r="7" spans="1:3" x14ac:dyDescent="0.35">
      <c r="A7" t="s">
        <v>15</v>
      </c>
      <c r="B7" t="s">
        <v>26</v>
      </c>
      <c r="C7">
        <v>28</v>
      </c>
    </row>
    <row r="8" spans="1:3" x14ac:dyDescent="0.35">
      <c r="A8" t="s">
        <v>16</v>
      </c>
      <c r="B8" t="s">
        <v>27</v>
      </c>
      <c r="C8">
        <v>30</v>
      </c>
    </row>
    <row r="9" spans="1:3" x14ac:dyDescent="0.35">
      <c r="A9" t="s">
        <v>17</v>
      </c>
      <c r="B9" t="s">
        <v>20</v>
      </c>
      <c r="C9" t="s">
        <v>20</v>
      </c>
    </row>
    <row r="10" spans="1:3" x14ac:dyDescent="0.35">
      <c r="A10" t="s">
        <v>28</v>
      </c>
      <c r="B10" t="s">
        <v>20</v>
      </c>
      <c r="C10" t="s">
        <v>20</v>
      </c>
    </row>
    <row r="11" spans="1:3" x14ac:dyDescent="0.35">
      <c r="A11" t="s">
        <v>19</v>
      </c>
      <c r="B11" t="s">
        <v>20</v>
      </c>
      <c r="C11" t="s">
        <v>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EE10-8A5C-4584-8BE0-217A59E58602}">
  <dimension ref="A2:C4"/>
  <sheetViews>
    <sheetView workbookViewId="0">
      <selection activeCell="C10" sqref="C10"/>
    </sheetView>
  </sheetViews>
  <sheetFormatPr defaultRowHeight="14.5" x14ac:dyDescent="0.35"/>
  <cols>
    <col min="1" max="1" width="15.1796875" customWidth="1"/>
    <col min="2" max="2" width="16.6328125" customWidth="1"/>
  </cols>
  <sheetData>
    <row r="2" spans="1:3" x14ac:dyDescent="0.35">
      <c r="A2" t="s">
        <v>1</v>
      </c>
      <c r="B2" t="s">
        <v>40</v>
      </c>
      <c r="C2">
        <v>24</v>
      </c>
    </row>
    <row r="3" spans="1:3" x14ac:dyDescent="0.35">
      <c r="A3" t="s">
        <v>2</v>
      </c>
      <c r="B3" t="s">
        <v>41</v>
      </c>
      <c r="C3">
        <v>30</v>
      </c>
    </row>
    <row r="4" spans="1:3" x14ac:dyDescent="0.35">
      <c r="A4" t="s">
        <v>39</v>
      </c>
      <c r="B4" t="s">
        <v>20</v>
      </c>
      <c r="C4" t="s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95EB-6AC5-452A-ABE0-3336376CE8A7}">
  <dimension ref="A1:C11"/>
  <sheetViews>
    <sheetView workbookViewId="0">
      <selection activeCell="D3" sqref="D3"/>
    </sheetView>
  </sheetViews>
  <sheetFormatPr defaultRowHeight="14.5" x14ac:dyDescent="0.35"/>
  <cols>
    <col min="1" max="1" width="14" bestFit="1" customWidth="1"/>
    <col min="2" max="2" width="12.453125" bestFit="1" customWidth="1"/>
  </cols>
  <sheetData>
    <row r="1" spans="1:3" x14ac:dyDescent="0.35">
      <c r="A1" t="s">
        <v>0</v>
      </c>
      <c r="C1" t="s">
        <v>3</v>
      </c>
    </row>
    <row r="2" spans="1:3" x14ac:dyDescent="0.35">
      <c r="A2" t="s">
        <v>1</v>
      </c>
      <c r="B2" t="s">
        <v>37</v>
      </c>
      <c r="C2">
        <v>24</v>
      </c>
    </row>
    <row r="3" spans="1:3" x14ac:dyDescent="0.35">
      <c r="A3" t="s">
        <v>11</v>
      </c>
      <c r="B3" t="s">
        <v>38</v>
      </c>
      <c r="C3">
        <v>30</v>
      </c>
    </row>
    <row r="4" spans="1:3" x14ac:dyDescent="0.35">
      <c r="A4" t="s">
        <v>30</v>
      </c>
      <c r="B4" t="s">
        <v>20</v>
      </c>
      <c r="C4" t="s">
        <v>20</v>
      </c>
    </row>
    <row r="5" spans="1:3" x14ac:dyDescent="0.35">
      <c r="A5" t="s">
        <v>31</v>
      </c>
      <c r="B5" t="s">
        <v>20</v>
      </c>
      <c r="C5" t="s">
        <v>20</v>
      </c>
    </row>
    <row r="6" spans="1:3" x14ac:dyDescent="0.35">
      <c r="A6" t="s">
        <v>14</v>
      </c>
      <c r="B6" t="s">
        <v>20</v>
      </c>
      <c r="C6" t="s">
        <v>20</v>
      </c>
    </row>
    <row r="7" spans="1:3" x14ac:dyDescent="0.35">
      <c r="A7" t="s">
        <v>15</v>
      </c>
      <c r="B7" t="s">
        <v>20</v>
      </c>
      <c r="C7" t="s">
        <v>20</v>
      </c>
    </row>
    <row r="8" spans="1:3" x14ac:dyDescent="0.35">
      <c r="A8" t="s">
        <v>32</v>
      </c>
      <c r="B8" t="s">
        <v>20</v>
      </c>
      <c r="C8" t="s">
        <v>20</v>
      </c>
    </row>
    <row r="9" spans="1:3" x14ac:dyDescent="0.35">
      <c r="A9" t="s">
        <v>17</v>
      </c>
      <c r="B9" t="s">
        <v>35</v>
      </c>
      <c r="C9">
        <v>30</v>
      </c>
    </row>
    <row r="10" spans="1:3" x14ac:dyDescent="0.35">
      <c r="A10" t="s">
        <v>18</v>
      </c>
      <c r="B10" t="s">
        <v>36</v>
      </c>
      <c r="C10">
        <v>30</v>
      </c>
    </row>
    <row r="11" spans="1:3" x14ac:dyDescent="0.35">
      <c r="A11" t="s">
        <v>33</v>
      </c>
      <c r="B11" t="s">
        <v>34</v>
      </c>
      <c r="C11">
        <v>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0EFE-3955-4365-AC21-4A508A36A0A8}">
  <dimension ref="A1:C22"/>
  <sheetViews>
    <sheetView workbookViewId="0">
      <selection activeCell="B4" sqref="B4"/>
    </sheetView>
  </sheetViews>
  <sheetFormatPr defaultRowHeight="14.5" x14ac:dyDescent="0.35"/>
  <cols>
    <col min="1" max="1" width="20.453125" customWidth="1"/>
    <col min="2" max="2" width="17.90625" customWidth="1"/>
  </cols>
  <sheetData>
    <row r="1" spans="1:3" x14ac:dyDescent="0.35">
      <c r="A1" t="s">
        <v>58</v>
      </c>
    </row>
    <row r="2" spans="1:3" x14ac:dyDescent="0.35">
      <c r="A2" t="s">
        <v>1</v>
      </c>
      <c r="B2" t="s">
        <v>61</v>
      </c>
      <c r="C2">
        <v>24</v>
      </c>
    </row>
    <row r="3" spans="1:3" x14ac:dyDescent="0.35">
      <c r="A3" t="s">
        <v>2</v>
      </c>
      <c r="B3" t="s">
        <v>20</v>
      </c>
      <c r="C3" t="s">
        <v>20</v>
      </c>
    </row>
    <row r="4" spans="1:3" x14ac:dyDescent="0.35">
      <c r="A4" t="s">
        <v>11</v>
      </c>
      <c r="B4" t="s">
        <v>63</v>
      </c>
      <c r="C4" t="s">
        <v>20</v>
      </c>
    </row>
    <row r="5" spans="1:3" x14ac:dyDescent="0.35">
      <c r="A5" t="s">
        <v>13</v>
      </c>
      <c r="B5" t="s">
        <v>20</v>
      </c>
      <c r="C5" t="s">
        <v>20</v>
      </c>
    </row>
    <row r="6" spans="1:3" x14ac:dyDescent="0.35">
      <c r="A6" t="s">
        <v>42</v>
      </c>
      <c r="B6" t="s">
        <v>20</v>
      </c>
      <c r="C6" t="s">
        <v>20</v>
      </c>
    </row>
    <row r="7" spans="1:3" x14ac:dyDescent="0.35">
      <c r="A7" t="s">
        <v>43</v>
      </c>
      <c r="B7" t="s">
        <v>20</v>
      </c>
      <c r="C7" t="s">
        <v>20</v>
      </c>
    </row>
    <row r="8" spans="1:3" x14ac:dyDescent="0.35">
      <c r="A8" t="s">
        <v>44</v>
      </c>
      <c r="B8" t="s">
        <v>20</v>
      </c>
      <c r="C8" t="s">
        <v>20</v>
      </c>
    </row>
    <row r="9" spans="1:3" x14ac:dyDescent="0.35">
      <c r="A9" t="s">
        <v>45</v>
      </c>
      <c r="B9" t="s">
        <v>20</v>
      </c>
      <c r="C9" t="s">
        <v>20</v>
      </c>
    </row>
    <row r="10" spans="1:3" x14ac:dyDescent="0.35">
      <c r="A10" t="s">
        <v>46</v>
      </c>
      <c r="B10" t="s">
        <v>20</v>
      </c>
      <c r="C10" t="s">
        <v>20</v>
      </c>
    </row>
    <row r="11" spans="1:3" x14ac:dyDescent="0.35">
      <c r="A11" t="s">
        <v>47</v>
      </c>
      <c r="B11" t="s">
        <v>63</v>
      </c>
      <c r="C11" t="s">
        <v>20</v>
      </c>
    </row>
    <row r="12" spans="1:3" x14ac:dyDescent="0.35">
      <c r="A12" t="s">
        <v>48</v>
      </c>
      <c r="B12" t="s">
        <v>20</v>
      </c>
      <c r="C12" t="s">
        <v>20</v>
      </c>
    </row>
    <row r="13" spans="1:3" x14ac:dyDescent="0.35">
      <c r="A13" t="s">
        <v>49</v>
      </c>
      <c r="B13" t="s">
        <v>20</v>
      </c>
      <c r="C13" t="s">
        <v>20</v>
      </c>
    </row>
    <row r="14" spans="1:3" x14ac:dyDescent="0.35">
      <c r="A14" t="s">
        <v>50</v>
      </c>
      <c r="B14" t="s">
        <v>20</v>
      </c>
      <c r="C14" t="s">
        <v>20</v>
      </c>
    </row>
    <row r="15" spans="1:3" x14ac:dyDescent="0.35">
      <c r="A15" t="s">
        <v>51</v>
      </c>
      <c r="B15" t="s">
        <v>20</v>
      </c>
      <c r="C15" t="s">
        <v>20</v>
      </c>
    </row>
    <row r="16" spans="1:3" x14ac:dyDescent="0.35">
      <c r="A16" t="s">
        <v>52</v>
      </c>
      <c r="B16" t="s">
        <v>20</v>
      </c>
      <c r="C16" t="s">
        <v>20</v>
      </c>
    </row>
    <row r="17" spans="1:3" x14ac:dyDescent="0.35">
      <c r="A17" t="s">
        <v>53</v>
      </c>
      <c r="B17" t="s">
        <v>20</v>
      </c>
      <c r="C17" t="s">
        <v>20</v>
      </c>
    </row>
    <row r="18" spans="1:3" x14ac:dyDescent="0.35">
      <c r="A18" t="s">
        <v>54</v>
      </c>
      <c r="B18" t="s">
        <v>20</v>
      </c>
      <c r="C18" t="s">
        <v>20</v>
      </c>
    </row>
    <row r="19" spans="1:3" x14ac:dyDescent="0.35">
      <c r="A19" t="s">
        <v>55</v>
      </c>
      <c r="B19" t="s">
        <v>20</v>
      </c>
      <c r="C19" t="s">
        <v>20</v>
      </c>
    </row>
    <row r="20" spans="1:3" x14ac:dyDescent="0.35">
      <c r="A20" t="s">
        <v>39</v>
      </c>
      <c r="B20" t="s">
        <v>20</v>
      </c>
      <c r="C20" t="s">
        <v>20</v>
      </c>
    </row>
    <row r="21" spans="1:3" x14ac:dyDescent="0.35">
      <c r="A21" t="s">
        <v>56</v>
      </c>
      <c r="B21" t="s">
        <v>59</v>
      </c>
      <c r="C21">
        <v>24</v>
      </c>
    </row>
    <row r="22" spans="1:3" x14ac:dyDescent="0.35">
      <c r="A22" t="s">
        <v>57</v>
      </c>
      <c r="B22" t="s">
        <v>60</v>
      </c>
      <c r="C22">
        <v>24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55D7-E4F5-41F9-9933-C73220B37E9F}">
  <dimension ref="A1:C17"/>
  <sheetViews>
    <sheetView workbookViewId="0">
      <selection activeCell="E25" sqref="E25"/>
    </sheetView>
  </sheetViews>
  <sheetFormatPr defaultRowHeight="14.5" x14ac:dyDescent="0.35"/>
  <cols>
    <col min="1" max="1" width="18.1796875" customWidth="1"/>
    <col min="2" max="2" width="19.7265625" customWidth="1"/>
  </cols>
  <sheetData>
    <row r="1" spans="1:3" x14ac:dyDescent="0.35">
      <c r="A1" t="s">
        <v>84</v>
      </c>
      <c r="C1" t="s">
        <v>3</v>
      </c>
    </row>
    <row r="2" spans="1:3" x14ac:dyDescent="0.35">
      <c r="A2" t="s">
        <v>85</v>
      </c>
      <c r="B2" t="s">
        <v>86</v>
      </c>
      <c r="C2">
        <v>27</v>
      </c>
    </row>
    <row r="3" spans="1:3" x14ac:dyDescent="0.35">
      <c r="A3" t="s">
        <v>87</v>
      </c>
      <c r="B3" t="s">
        <v>20</v>
      </c>
      <c r="C3" t="s">
        <v>20</v>
      </c>
    </row>
    <row r="4" spans="1:3" x14ac:dyDescent="0.35">
      <c r="A4" t="s">
        <v>88</v>
      </c>
      <c r="B4" t="s">
        <v>20</v>
      </c>
      <c r="C4">
        <f t="shared" ref="C4:C13" si="0">$C$2</f>
        <v>27</v>
      </c>
    </row>
    <row r="5" spans="1:3" x14ac:dyDescent="0.35">
      <c r="A5" t="s">
        <v>89</v>
      </c>
      <c r="B5" t="s">
        <v>102</v>
      </c>
      <c r="C5">
        <f t="shared" si="0"/>
        <v>27</v>
      </c>
    </row>
    <row r="6" spans="1:3" x14ac:dyDescent="0.35">
      <c r="A6" t="s">
        <v>85</v>
      </c>
      <c r="B6" t="s">
        <v>20</v>
      </c>
      <c r="C6">
        <f t="shared" si="0"/>
        <v>27</v>
      </c>
    </row>
    <row r="7" spans="1:3" x14ac:dyDescent="0.35">
      <c r="A7" t="s">
        <v>90</v>
      </c>
      <c r="B7" t="s">
        <v>101</v>
      </c>
      <c r="C7">
        <f t="shared" si="0"/>
        <v>27</v>
      </c>
    </row>
    <row r="8" spans="1:3" x14ac:dyDescent="0.35">
      <c r="A8" t="s">
        <v>91</v>
      </c>
      <c r="B8" t="s">
        <v>20</v>
      </c>
      <c r="C8">
        <f t="shared" si="0"/>
        <v>27</v>
      </c>
    </row>
    <row r="9" spans="1:3" x14ac:dyDescent="0.35">
      <c r="A9" t="s">
        <v>92</v>
      </c>
      <c r="B9" t="s">
        <v>20</v>
      </c>
      <c r="C9">
        <f t="shared" si="0"/>
        <v>27</v>
      </c>
    </row>
    <row r="10" spans="1:3" x14ac:dyDescent="0.35">
      <c r="A10" t="s">
        <v>93</v>
      </c>
      <c r="B10" t="s">
        <v>20</v>
      </c>
      <c r="C10">
        <f t="shared" si="0"/>
        <v>27</v>
      </c>
    </row>
    <row r="11" spans="1:3" x14ac:dyDescent="0.35">
      <c r="A11" t="s">
        <v>94</v>
      </c>
      <c r="B11" t="s">
        <v>101</v>
      </c>
      <c r="C11">
        <f t="shared" si="0"/>
        <v>27</v>
      </c>
    </row>
    <row r="12" spans="1:3" x14ac:dyDescent="0.35">
      <c r="A12" t="s">
        <v>95</v>
      </c>
      <c r="B12" t="s">
        <v>101</v>
      </c>
      <c r="C12">
        <f t="shared" si="0"/>
        <v>27</v>
      </c>
    </row>
    <row r="13" spans="1:3" x14ac:dyDescent="0.35">
      <c r="A13" t="s">
        <v>96</v>
      </c>
      <c r="B13" t="s">
        <v>101</v>
      </c>
      <c r="C13">
        <f t="shared" si="0"/>
        <v>27</v>
      </c>
    </row>
    <row r="14" spans="1:3" x14ac:dyDescent="0.35">
      <c r="A14" t="s">
        <v>97</v>
      </c>
      <c r="B14" t="s">
        <v>101</v>
      </c>
    </row>
    <row r="15" spans="1:3" x14ac:dyDescent="0.35">
      <c r="A15" t="s">
        <v>98</v>
      </c>
      <c r="B15" t="s">
        <v>101</v>
      </c>
    </row>
    <row r="16" spans="1:3" x14ac:dyDescent="0.35">
      <c r="A16" t="s">
        <v>99</v>
      </c>
      <c r="B16" t="s">
        <v>101</v>
      </c>
      <c r="C16">
        <v>28</v>
      </c>
    </row>
    <row r="17" spans="1:2" x14ac:dyDescent="0.35">
      <c r="A17" t="s">
        <v>100</v>
      </c>
      <c r="B17" t="s">
        <v>101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8942-5858-41F2-8D14-0A85EFAF8F7B}">
  <dimension ref="A1:D18"/>
  <sheetViews>
    <sheetView workbookViewId="0">
      <selection activeCell="G7" sqref="G7"/>
    </sheetView>
  </sheetViews>
  <sheetFormatPr defaultRowHeight="14.5" x14ac:dyDescent="0.35"/>
  <cols>
    <col min="2" max="2" width="16.08984375" customWidth="1"/>
    <col min="3" max="3" width="13.7265625" customWidth="1"/>
    <col min="4" max="4" width="10.1796875" customWidth="1"/>
  </cols>
  <sheetData>
    <row r="1" spans="1:4" x14ac:dyDescent="0.35">
      <c r="A1" t="s">
        <v>64</v>
      </c>
      <c r="D1" t="s">
        <v>3</v>
      </c>
    </row>
    <row r="2" spans="1:4" x14ac:dyDescent="0.35">
      <c r="A2" t="s">
        <v>65</v>
      </c>
      <c r="B2" t="s">
        <v>105</v>
      </c>
      <c r="C2" t="s">
        <v>77</v>
      </c>
      <c r="D2">
        <v>28</v>
      </c>
    </row>
    <row r="3" spans="1:4" x14ac:dyDescent="0.35">
      <c r="A3" t="s">
        <v>66</v>
      </c>
      <c r="B3" t="s">
        <v>105</v>
      </c>
      <c r="C3" t="s">
        <v>78</v>
      </c>
      <c r="D3">
        <f>$D$2</f>
        <v>28</v>
      </c>
    </row>
    <row r="4" spans="1:4" x14ac:dyDescent="0.35">
      <c r="A4" t="s">
        <v>67</v>
      </c>
      <c r="B4" t="s">
        <v>105</v>
      </c>
      <c r="C4" t="s">
        <v>20</v>
      </c>
      <c r="D4">
        <f t="shared" ref="D4:D13" si="0">$D$2</f>
        <v>28</v>
      </c>
    </row>
    <row r="5" spans="1:4" x14ac:dyDescent="0.35">
      <c r="A5" t="s">
        <v>68</v>
      </c>
      <c r="C5" t="s">
        <v>20</v>
      </c>
      <c r="D5">
        <f t="shared" si="0"/>
        <v>28</v>
      </c>
    </row>
    <row r="6" spans="1:4" x14ac:dyDescent="0.35">
      <c r="A6" t="s">
        <v>69</v>
      </c>
      <c r="C6" t="s">
        <v>20</v>
      </c>
      <c r="D6">
        <f t="shared" si="0"/>
        <v>28</v>
      </c>
    </row>
    <row r="7" spans="1:4" x14ac:dyDescent="0.35">
      <c r="A7" t="s">
        <v>70</v>
      </c>
      <c r="C7" t="s">
        <v>20</v>
      </c>
      <c r="D7">
        <f t="shared" si="0"/>
        <v>28</v>
      </c>
    </row>
    <row r="8" spans="1:4" x14ac:dyDescent="0.35">
      <c r="A8" t="s">
        <v>71</v>
      </c>
      <c r="C8" t="s">
        <v>20</v>
      </c>
      <c r="D8">
        <f t="shared" si="0"/>
        <v>28</v>
      </c>
    </row>
    <row r="9" spans="1:4" x14ac:dyDescent="0.35">
      <c r="A9" t="s">
        <v>72</v>
      </c>
      <c r="C9" t="s">
        <v>20</v>
      </c>
      <c r="D9">
        <f t="shared" si="0"/>
        <v>28</v>
      </c>
    </row>
    <row r="10" spans="1:4" x14ac:dyDescent="0.35">
      <c r="A10" t="s">
        <v>73</v>
      </c>
      <c r="C10" t="s">
        <v>20</v>
      </c>
      <c r="D10">
        <f t="shared" si="0"/>
        <v>28</v>
      </c>
    </row>
    <row r="11" spans="1:4" x14ac:dyDescent="0.35">
      <c r="A11" t="s">
        <v>74</v>
      </c>
      <c r="C11" t="s">
        <v>20</v>
      </c>
      <c r="D11">
        <f t="shared" si="0"/>
        <v>28</v>
      </c>
    </row>
    <row r="12" spans="1:4" x14ac:dyDescent="0.35">
      <c r="A12" t="s">
        <v>75</v>
      </c>
      <c r="D12">
        <f t="shared" si="0"/>
        <v>28</v>
      </c>
    </row>
    <row r="13" spans="1:4" x14ac:dyDescent="0.35">
      <c r="A13" t="s">
        <v>76</v>
      </c>
      <c r="D13">
        <f t="shared" si="0"/>
        <v>28</v>
      </c>
    </row>
    <row r="15" spans="1:4" x14ac:dyDescent="0.35">
      <c r="A15" t="s">
        <v>79</v>
      </c>
    </row>
    <row r="16" spans="1:4" x14ac:dyDescent="0.35">
      <c r="A16" t="s">
        <v>80</v>
      </c>
      <c r="C16" t="s">
        <v>83</v>
      </c>
      <c r="D16">
        <v>28</v>
      </c>
    </row>
    <row r="17" spans="1:3" x14ac:dyDescent="0.35">
      <c r="A17" t="s">
        <v>81</v>
      </c>
      <c r="C17" t="s">
        <v>20</v>
      </c>
    </row>
    <row r="18" spans="1:3" x14ac:dyDescent="0.35">
      <c r="A18" t="s">
        <v>82</v>
      </c>
      <c r="C18" t="s">
        <v>20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3062-3F75-40F7-A57D-23CA9687D331}">
  <dimension ref="A1:C20"/>
  <sheetViews>
    <sheetView workbookViewId="0">
      <selection activeCell="M8" sqref="M8"/>
    </sheetView>
  </sheetViews>
  <sheetFormatPr defaultRowHeight="14.5" x14ac:dyDescent="0.35"/>
  <cols>
    <col min="1" max="1" width="12.26953125" customWidth="1"/>
    <col min="2" max="2" width="23.1796875" customWidth="1"/>
    <col min="3" max="3" width="5.1796875" bestFit="1" customWidth="1"/>
  </cols>
  <sheetData>
    <row r="1" spans="1:3" x14ac:dyDescent="0.35">
      <c r="A1" t="s">
        <v>64</v>
      </c>
      <c r="C1" t="s">
        <v>3</v>
      </c>
    </row>
    <row r="2" spans="1:3" x14ac:dyDescent="0.35">
      <c r="A2" t="s">
        <v>68</v>
      </c>
      <c r="B2" t="s">
        <v>104</v>
      </c>
      <c r="C2">
        <v>27</v>
      </c>
    </row>
    <row r="3" spans="1:3" x14ac:dyDescent="0.35">
      <c r="A3" t="s">
        <v>66</v>
      </c>
      <c r="B3" t="s">
        <v>78</v>
      </c>
      <c r="C3">
        <f>$C$2</f>
        <v>27</v>
      </c>
    </row>
    <row r="4" spans="1:3" x14ac:dyDescent="0.35">
      <c r="A4" t="s">
        <v>67</v>
      </c>
      <c r="B4" t="s">
        <v>20</v>
      </c>
      <c r="C4">
        <f t="shared" ref="C4:C13" si="0">$C$2</f>
        <v>27</v>
      </c>
    </row>
    <row r="5" spans="1:3" x14ac:dyDescent="0.35">
      <c r="A5" t="s">
        <v>68</v>
      </c>
      <c r="B5" t="s">
        <v>20</v>
      </c>
      <c r="C5">
        <f t="shared" si="0"/>
        <v>27</v>
      </c>
    </row>
    <row r="6" spans="1:3" x14ac:dyDescent="0.35">
      <c r="A6" t="s">
        <v>69</v>
      </c>
      <c r="B6" t="s">
        <v>20</v>
      </c>
      <c r="C6">
        <f t="shared" si="0"/>
        <v>27</v>
      </c>
    </row>
    <row r="7" spans="1:3" x14ac:dyDescent="0.35">
      <c r="A7" t="s">
        <v>70</v>
      </c>
      <c r="B7" t="s">
        <v>20</v>
      </c>
      <c r="C7">
        <f t="shared" si="0"/>
        <v>27</v>
      </c>
    </row>
    <row r="8" spans="1:3" x14ac:dyDescent="0.35">
      <c r="A8" t="s">
        <v>71</v>
      </c>
      <c r="B8" t="s">
        <v>20</v>
      </c>
      <c r="C8">
        <f t="shared" si="0"/>
        <v>27</v>
      </c>
    </row>
    <row r="9" spans="1:3" x14ac:dyDescent="0.35">
      <c r="A9" t="s">
        <v>72</v>
      </c>
      <c r="B9" t="s">
        <v>20</v>
      </c>
      <c r="C9">
        <f t="shared" si="0"/>
        <v>27</v>
      </c>
    </row>
    <row r="10" spans="1:3" x14ac:dyDescent="0.35">
      <c r="A10" t="s">
        <v>73</v>
      </c>
      <c r="B10" t="s">
        <v>20</v>
      </c>
      <c r="C10">
        <f t="shared" si="0"/>
        <v>27</v>
      </c>
    </row>
    <row r="11" spans="1:3" x14ac:dyDescent="0.35">
      <c r="A11" t="s">
        <v>74</v>
      </c>
      <c r="B11" t="s">
        <v>20</v>
      </c>
      <c r="C11">
        <f t="shared" si="0"/>
        <v>27</v>
      </c>
    </row>
    <row r="12" spans="1:3" x14ac:dyDescent="0.35">
      <c r="A12" t="s">
        <v>75</v>
      </c>
      <c r="B12" t="s">
        <v>20</v>
      </c>
      <c r="C12">
        <f t="shared" si="0"/>
        <v>27</v>
      </c>
    </row>
    <row r="13" spans="1:3" x14ac:dyDescent="0.35">
      <c r="A13" t="s">
        <v>76</v>
      </c>
      <c r="B13" t="s">
        <v>20</v>
      </c>
      <c r="C13">
        <f t="shared" si="0"/>
        <v>27</v>
      </c>
    </row>
    <row r="15" spans="1:3" x14ac:dyDescent="0.35">
      <c r="A15" t="s">
        <v>79</v>
      </c>
    </row>
    <row r="16" spans="1:3" x14ac:dyDescent="0.35">
      <c r="A16" t="s">
        <v>80</v>
      </c>
      <c r="B16" t="s">
        <v>83</v>
      </c>
      <c r="C16">
        <v>28</v>
      </c>
    </row>
    <row r="17" spans="1:2" x14ac:dyDescent="0.35">
      <c r="A17" t="s">
        <v>81</v>
      </c>
      <c r="B17" t="s">
        <v>20</v>
      </c>
    </row>
    <row r="18" spans="1:2" x14ac:dyDescent="0.35">
      <c r="A18" t="s">
        <v>82</v>
      </c>
      <c r="B18" t="s">
        <v>20</v>
      </c>
    </row>
    <row r="20" spans="1:2" x14ac:dyDescent="0.35">
      <c r="A20" t="s">
        <v>103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8929-EEE2-4DCB-AA50-867BEE488874}">
  <dimension ref="A1"/>
  <sheetViews>
    <sheetView workbookViewId="0">
      <selection activeCell="E4" sqref="E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F8C5-741C-4F6C-8578-C207922B0F15}">
  <dimension ref="A1"/>
  <sheetViews>
    <sheetView workbookViewId="0">
      <selection activeCell="G17" sqref="G17"/>
    </sheetView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412E-0778-461C-A633-A63C1DD631F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739B-11A2-47CE-8979-0820FA91E216}">
  <dimension ref="A1"/>
  <sheetViews>
    <sheetView workbookViewId="0"/>
  </sheetViews>
  <sheetFormatPr defaultRowHeight="14.5" x14ac:dyDescent="0.35"/>
  <cols>
    <col min="1" max="1" width="22.08984375" customWidth="1"/>
    <col min="2" max="2" width="28.08984375" customWidth="1"/>
    <col min="3" max="3" width="27.54296875" customWidth="1"/>
    <col min="4" max="4" width="26.36328125" customWidth="1"/>
  </cols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D8BB-834F-4B53-AB90-5AE920B48AFF}">
  <dimension ref="A1:D30"/>
  <sheetViews>
    <sheetView topLeftCell="A22" workbookViewId="0">
      <selection activeCell="B33" sqref="B33"/>
    </sheetView>
  </sheetViews>
  <sheetFormatPr defaultRowHeight="14.5" x14ac:dyDescent="0.35"/>
  <cols>
    <col min="1" max="1" width="29.7265625" customWidth="1"/>
    <col min="3" max="3" width="15.90625" customWidth="1"/>
  </cols>
  <sheetData>
    <row r="1" spans="1:2" x14ac:dyDescent="0.35">
      <c r="A1" t="s">
        <v>134</v>
      </c>
    </row>
    <row r="2" spans="1:2" x14ac:dyDescent="0.35">
      <c r="A2" t="s">
        <v>106</v>
      </c>
      <c r="B2" t="s">
        <v>62</v>
      </c>
    </row>
    <row r="3" spans="1:2" x14ac:dyDescent="0.35">
      <c r="A3" t="s">
        <v>107</v>
      </c>
      <c r="B3" t="s">
        <v>62</v>
      </c>
    </row>
    <row r="4" spans="1:2" x14ac:dyDescent="0.35">
      <c r="A4" t="s">
        <v>108</v>
      </c>
      <c r="B4" t="s">
        <v>62</v>
      </c>
    </row>
    <row r="5" spans="1:2" x14ac:dyDescent="0.35">
      <c r="A5" t="s">
        <v>109</v>
      </c>
      <c r="B5" t="s">
        <v>62</v>
      </c>
    </row>
    <row r="6" spans="1:2" x14ac:dyDescent="0.35">
      <c r="A6" t="s">
        <v>110</v>
      </c>
      <c r="B6" t="s">
        <v>62</v>
      </c>
    </row>
    <row r="7" spans="1:2" x14ac:dyDescent="0.35">
      <c r="A7" t="s">
        <v>111</v>
      </c>
      <c r="B7" t="s">
        <v>62</v>
      </c>
    </row>
    <row r="8" spans="1:2" x14ac:dyDescent="0.35">
      <c r="A8" t="s">
        <v>112</v>
      </c>
      <c r="B8" t="s">
        <v>62</v>
      </c>
    </row>
    <row r="9" spans="1:2" x14ac:dyDescent="0.35">
      <c r="A9" t="s">
        <v>113</v>
      </c>
      <c r="B9" t="s">
        <v>132</v>
      </c>
    </row>
    <row r="10" spans="1:2" x14ac:dyDescent="0.35">
      <c r="A10" t="s">
        <v>114</v>
      </c>
      <c r="B10" t="s">
        <v>132</v>
      </c>
    </row>
    <row r="11" spans="1:2" x14ac:dyDescent="0.35">
      <c r="A11" t="s">
        <v>115</v>
      </c>
      <c r="B11" t="s">
        <v>132</v>
      </c>
    </row>
    <row r="12" spans="1:2" x14ac:dyDescent="0.35">
      <c r="A12" t="s">
        <v>116</v>
      </c>
      <c r="B12" t="s">
        <v>132</v>
      </c>
    </row>
    <row r="13" spans="1:2" x14ac:dyDescent="0.35">
      <c r="A13" t="s">
        <v>117</v>
      </c>
      <c r="B13" t="s">
        <v>132</v>
      </c>
    </row>
    <row r="14" spans="1:2" x14ac:dyDescent="0.35">
      <c r="A14" t="s">
        <v>118</v>
      </c>
      <c r="B14" t="s">
        <v>132</v>
      </c>
    </row>
    <row r="15" spans="1:2" x14ac:dyDescent="0.35">
      <c r="A15" t="s">
        <v>119</v>
      </c>
      <c r="B15" t="s">
        <v>132</v>
      </c>
    </row>
    <row r="16" spans="1:2" x14ac:dyDescent="0.35">
      <c r="A16" t="s">
        <v>120</v>
      </c>
      <c r="B16" t="s">
        <v>132</v>
      </c>
    </row>
    <row r="17" spans="1:4" x14ac:dyDescent="0.35">
      <c r="A17" t="s">
        <v>121</v>
      </c>
      <c r="B17" t="s">
        <v>132</v>
      </c>
    </row>
    <row r="18" spans="1:4" x14ac:dyDescent="0.35">
      <c r="A18" t="s">
        <v>122</v>
      </c>
      <c r="B18" t="s">
        <v>132</v>
      </c>
    </row>
    <row r="19" spans="1:4" x14ac:dyDescent="0.35">
      <c r="A19" t="s">
        <v>123</v>
      </c>
      <c r="B19" t="s">
        <v>132</v>
      </c>
    </row>
    <row r="20" spans="1:4" x14ac:dyDescent="0.35">
      <c r="A20" t="s">
        <v>124</v>
      </c>
      <c r="B20" t="s">
        <v>132</v>
      </c>
    </row>
    <row r="21" spans="1:4" x14ac:dyDescent="0.35">
      <c r="A21" t="s">
        <v>125</v>
      </c>
      <c r="B21" t="s">
        <v>132</v>
      </c>
    </row>
    <row r="22" spans="1:4" x14ac:dyDescent="0.35">
      <c r="A22" t="s">
        <v>126</v>
      </c>
      <c r="B22" t="s">
        <v>132</v>
      </c>
    </row>
    <row r="23" spans="1:4" x14ac:dyDescent="0.35">
      <c r="A23" t="s">
        <v>127</v>
      </c>
      <c r="B23" t="s">
        <v>132</v>
      </c>
    </row>
    <row r="24" spans="1:4" x14ac:dyDescent="0.35">
      <c r="A24" t="s">
        <v>128</v>
      </c>
      <c r="B24" t="s">
        <v>132</v>
      </c>
    </row>
    <row r="25" spans="1:4" x14ac:dyDescent="0.35">
      <c r="A25" t="s">
        <v>129</v>
      </c>
      <c r="B25" t="s">
        <v>132</v>
      </c>
    </row>
    <row r="26" spans="1:4" x14ac:dyDescent="0.35">
      <c r="A26" t="s">
        <v>130</v>
      </c>
      <c r="B26" t="s">
        <v>132</v>
      </c>
    </row>
    <row r="27" spans="1:4" x14ac:dyDescent="0.35">
      <c r="A27" t="s">
        <v>131</v>
      </c>
      <c r="B27" t="s">
        <v>132</v>
      </c>
    </row>
    <row r="28" spans="1:4" x14ac:dyDescent="0.35">
      <c r="A28" t="s">
        <v>39</v>
      </c>
      <c r="B28" t="s">
        <v>132</v>
      </c>
    </row>
    <row r="29" spans="1:4" x14ac:dyDescent="0.35">
      <c r="A29" t="s">
        <v>135</v>
      </c>
      <c r="B29" t="s">
        <v>62</v>
      </c>
      <c r="C29" t="s">
        <v>137</v>
      </c>
    </row>
    <row r="30" spans="1:4" x14ac:dyDescent="0.35">
      <c r="A30" t="s">
        <v>136</v>
      </c>
      <c r="B30" t="s">
        <v>62</v>
      </c>
      <c r="C30" t="s">
        <v>138</v>
      </c>
      <c r="D30">
        <v>24</v>
      </c>
    </row>
  </sheetData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7FF0-A062-4058-BB3A-A6DA55408ECD}">
  <dimension ref="A1:B28"/>
  <sheetViews>
    <sheetView workbookViewId="0">
      <selection activeCell="A7" sqref="A7"/>
    </sheetView>
  </sheetViews>
  <sheetFormatPr defaultRowHeight="14.5" x14ac:dyDescent="0.35"/>
  <cols>
    <col min="1" max="1" width="21.26953125" customWidth="1"/>
    <col min="2" max="2" width="13.54296875" customWidth="1"/>
  </cols>
  <sheetData>
    <row r="1" spans="1:2" x14ac:dyDescent="0.35">
      <c r="A1" t="s">
        <v>133</v>
      </c>
    </row>
    <row r="2" spans="1:2" x14ac:dyDescent="0.35">
      <c r="A2" t="s">
        <v>106</v>
      </c>
      <c r="B2" t="s">
        <v>62</v>
      </c>
    </row>
    <row r="3" spans="1:2" x14ac:dyDescent="0.35">
      <c r="A3" t="s">
        <v>107</v>
      </c>
      <c r="B3" t="s">
        <v>62</v>
      </c>
    </row>
    <row r="4" spans="1:2" x14ac:dyDescent="0.35">
      <c r="A4" t="s">
        <v>108</v>
      </c>
      <c r="B4" t="s">
        <v>62</v>
      </c>
    </row>
    <row r="5" spans="1:2" x14ac:dyDescent="0.35">
      <c r="A5" t="s">
        <v>109</v>
      </c>
      <c r="B5" t="s">
        <v>62</v>
      </c>
    </row>
    <row r="6" spans="1:2" x14ac:dyDescent="0.35">
      <c r="A6" t="s">
        <v>110</v>
      </c>
      <c r="B6" t="s">
        <v>62</v>
      </c>
    </row>
    <row r="7" spans="1:2" x14ac:dyDescent="0.35">
      <c r="A7" t="s">
        <v>111</v>
      </c>
      <c r="B7" t="s">
        <v>62</v>
      </c>
    </row>
    <row r="8" spans="1:2" x14ac:dyDescent="0.35">
      <c r="A8" t="s">
        <v>112</v>
      </c>
      <c r="B8" t="s">
        <v>132</v>
      </c>
    </row>
    <row r="9" spans="1:2" x14ac:dyDescent="0.35">
      <c r="A9" t="s">
        <v>113</v>
      </c>
      <c r="B9" t="s">
        <v>132</v>
      </c>
    </row>
    <row r="10" spans="1:2" x14ac:dyDescent="0.35">
      <c r="A10" t="s">
        <v>114</v>
      </c>
      <c r="B10" t="s">
        <v>132</v>
      </c>
    </row>
    <row r="11" spans="1:2" x14ac:dyDescent="0.35">
      <c r="A11" t="s">
        <v>115</v>
      </c>
      <c r="B11" t="s">
        <v>132</v>
      </c>
    </row>
    <row r="12" spans="1:2" x14ac:dyDescent="0.35">
      <c r="A12" t="s">
        <v>116</v>
      </c>
      <c r="B12" t="s">
        <v>132</v>
      </c>
    </row>
    <row r="13" spans="1:2" x14ac:dyDescent="0.35">
      <c r="A13" t="s">
        <v>117</v>
      </c>
      <c r="B13" t="s">
        <v>132</v>
      </c>
    </row>
    <row r="14" spans="1:2" x14ac:dyDescent="0.35">
      <c r="A14" t="s">
        <v>118</v>
      </c>
      <c r="B14" t="s">
        <v>132</v>
      </c>
    </row>
    <row r="15" spans="1:2" x14ac:dyDescent="0.35">
      <c r="A15" t="s">
        <v>119</v>
      </c>
      <c r="B15" t="s">
        <v>132</v>
      </c>
    </row>
    <row r="16" spans="1:2" x14ac:dyDescent="0.35">
      <c r="A16" t="s">
        <v>120</v>
      </c>
      <c r="B16" t="s">
        <v>132</v>
      </c>
    </row>
    <row r="17" spans="1:2" x14ac:dyDescent="0.35">
      <c r="A17" t="s">
        <v>121</v>
      </c>
      <c r="B17" t="s">
        <v>132</v>
      </c>
    </row>
    <row r="18" spans="1:2" x14ac:dyDescent="0.35">
      <c r="A18" t="s">
        <v>122</v>
      </c>
      <c r="B18" t="s">
        <v>132</v>
      </c>
    </row>
    <row r="19" spans="1:2" x14ac:dyDescent="0.35">
      <c r="A19" t="s">
        <v>123</v>
      </c>
      <c r="B19" t="s">
        <v>132</v>
      </c>
    </row>
    <row r="20" spans="1:2" x14ac:dyDescent="0.35">
      <c r="A20" t="s">
        <v>124</v>
      </c>
      <c r="B20" t="s">
        <v>132</v>
      </c>
    </row>
    <row r="21" spans="1:2" x14ac:dyDescent="0.35">
      <c r="A21" t="s">
        <v>125</v>
      </c>
      <c r="B21" t="s">
        <v>132</v>
      </c>
    </row>
    <row r="22" spans="1:2" x14ac:dyDescent="0.35">
      <c r="A22" t="s">
        <v>126</v>
      </c>
      <c r="B22" t="s">
        <v>132</v>
      </c>
    </row>
    <row r="23" spans="1:2" x14ac:dyDescent="0.35">
      <c r="A23" t="s">
        <v>127</v>
      </c>
      <c r="B23" t="s">
        <v>132</v>
      </c>
    </row>
    <row r="24" spans="1:2" x14ac:dyDescent="0.35">
      <c r="A24" t="s">
        <v>128</v>
      </c>
      <c r="B24" t="s">
        <v>132</v>
      </c>
    </row>
    <row r="25" spans="1:2" x14ac:dyDescent="0.35">
      <c r="A25" t="s">
        <v>129</v>
      </c>
      <c r="B25" t="s">
        <v>132</v>
      </c>
    </row>
    <row r="26" spans="1:2" x14ac:dyDescent="0.35">
      <c r="A26" t="s">
        <v>130</v>
      </c>
      <c r="B26" t="s">
        <v>132</v>
      </c>
    </row>
    <row r="27" spans="1:2" x14ac:dyDescent="0.35">
      <c r="A27" t="s">
        <v>131</v>
      </c>
      <c r="B27" t="s">
        <v>132</v>
      </c>
    </row>
    <row r="28" spans="1:2" x14ac:dyDescent="0.35">
      <c r="A28" t="s">
        <v>39</v>
      </c>
      <c r="B28" t="s">
        <v>132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DA18-F4B2-4355-9F9C-D0BF18084A78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9132-DAC9-47DC-88F5-F6BAAB31BF9E}">
  <dimension ref="A1"/>
  <sheetViews>
    <sheetView workbookViewId="0">
      <selection activeCell="J16" sqref="J16"/>
    </sheetView>
  </sheetViews>
  <sheetFormatPr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ACC1-FC5E-4D45-B235-CA59E108567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7D58-1456-4502-9B1A-4EC236F9DE6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Router1</vt:lpstr>
      <vt:lpstr>Router2</vt:lpstr>
      <vt:lpstr>Nat Router</vt:lpstr>
      <vt:lpstr>Firewall Router</vt:lpstr>
      <vt:lpstr>ISP router</vt:lpstr>
      <vt:lpstr>WirelessRouter</vt:lpstr>
      <vt:lpstr>Subnet Management secret</vt:lpstr>
      <vt:lpstr>Study</vt:lpstr>
      <vt:lpstr>Production</vt:lpstr>
      <vt:lpstr>Support 1</vt:lpstr>
      <vt:lpstr>Support 2</vt:lpstr>
      <vt:lpstr>IT department</vt:lpstr>
      <vt:lpstr>Switch Management</vt:lpstr>
      <vt:lpstr>Switch Study</vt:lpstr>
      <vt:lpstr>Switch Production</vt:lpstr>
      <vt:lpstr>Switch Support 1</vt:lpstr>
      <vt:lpstr>Switch support 2</vt:lpstr>
      <vt:lpstr>Switch IT 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I. Cozzone</dc:creator>
  <cp:lastModifiedBy>Maximilian I. Cozzone</cp:lastModifiedBy>
  <dcterms:created xsi:type="dcterms:W3CDTF">2026-02-23T08:02:20Z</dcterms:created>
  <dcterms:modified xsi:type="dcterms:W3CDTF">2026-02-23T13:48:16Z</dcterms:modified>
</cp:coreProperties>
</file>